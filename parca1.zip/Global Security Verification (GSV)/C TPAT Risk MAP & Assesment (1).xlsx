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yed.ahmed\Desktop\C-TPAT\"/>
    </mc:Choice>
  </mc:AlternateContent>
  <xr:revisionPtr revIDLastSave="0" documentId="8_{5B6EBB7A-75F6-407A-A48E-D110EE751C63}" xr6:coauthVersionLast="47" xr6:coauthVersionMax="47" xr10:uidLastSave="{00000000-0000-0000-0000-000000000000}"/>
  <bookViews>
    <workbookView xWindow="-108" yWindow="-108" windowWidth="23256" windowHeight="12456" activeTab="4" xr2:uid="{370338D4-4630-4B3C-8B3D-7CD89CF60AEA}"/>
  </bookViews>
  <sheets>
    <sheet name="Rating" sheetId="3" r:id="rId1"/>
    <sheet name="Control" sheetId="4" r:id="rId2"/>
    <sheet name="Risk Assesment EN" sheetId="8" r:id="rId3"/>
    <sheet name="Risk Değerlendirmesi TR" sheetId="5" r:id="rId4"/>
    <sheet name="Score" sheetId="7" r:id="rId5"/>
  </sheets>
  <definedNames>
    <definedName name="_xlnm._FilterDatabase" localSheetId="2" hidden="1">'Risk Assesment EN'!$A$4:$L$18</definedName>
    <definedName name="_xlnm._FilterDatabase" localSheetId="3" hidden="1">'Risk Değerlendirmesi TR'!$A$4:$L$18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9" i="3" l="1"/>
  <c r="H38" i="3"/>
  <c r="H37" i="3"/>
  <c r="H36" i="3"/>
  <c r="H35" i="3"/>
  <c r="H34" i="3"/>
  <c r="H33" i="3"/>
  <c r="H32" i="3"/>
  <c r="H31" i="3"/>
  <c r="H30" i="3"/>
  <c r="H29" i="3"/>
  <c r="H28" i="3"/>
  <c r="H27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24" i="5"/>
  <c r="F25" i="5"/>
  <c r="F26" i="5"/>
  <c r="F21" i="5"/>
  <c r="F22" i="5"/>
  <c r="F23" i="5"/>
  <c r="F20" i="5"/>
  <c r="F19" i="5"/>
  <c r="F18" i="5"/>
  <c r="F17" i="5"/>
  <c r="F16" i="5"/>
  <c r="F14" i="5"/>
  <c r="F13" i="5"/>
  <c r="F12" i="5"/>
  <c r="F10" i="5"/>
  <c r="F9" i="5"/>
  <c r="F6" i="5"/>
  <c r="F5" i="5"/>
  <c r="F7" i="5"/>
  <c r="F8" i="5"/>
  <c r="F11" i="5"/>
  <c r="F15" i="5"/>
  <c r="H41" i="3" l="1"/>
  <c r="H26" i="3"/>
  <c r="H11" i="3"/>
</calcChain>
</file>

<file path=xl/sharedStrings.xml><?xml version="1.0" encoding="utf-8"?>
<sst xmlns="http://schemas.openxmlformats.org/spreadsheetml/2006/main" count="782" uniqueCount="388">
  <si>
    <t>1-3</t>
  </si>
  <si>
    <t>4-6</t>
  </si>
  <si>
    <t>&gt;9</t>
  </si>
  <si>
    <t>SGK Borcu</t>
  </si>
  <si>
    <t>DNM</t>
  </si>
  <si>
    <t>Dizayn Etiket</t>
  </si>
  <si>
    <t>Yedi Kardeşler</t>
  </si>
  <si>
    <t>YKK</t>
  </si>
  <si>
    <t>C TPAT
BUSINESS PARTNERS RISK MAP</t>
  </si>
  <si>
    <t>Scoring Matrix</t>
  </si>
  <si>
    <t>Low Security Risk</t>
  </si>
  <si>
    <t>Medium Security Risk</t>
  </si>
  <si>
    <t>High Security Risk</t>
  </si>
  <si>
    <t>Service Provider</t>
  </si>
  <si>
    <t>Service Received</t>
  </si>
  <si>
    <t>Physical Risk (PR)</t>
  </si>
  <si>
    <t>PR Score</t>
  </si>
  <si>
    <t>Cyber ​​Security Risk (CSR)</t>
  </si>
  <si>
    <t>CSR Skoru</t>
  </si>
  <si>
    <r>
      <rPr>
        <b/>
        <sz val="10"/>
        <color theme="1"/>
        <rFont val="Calibri"/>
        <family val="2"/>
        <charset val="162"/>
      </rPr>
      <t xml:space="preserve">Σ </t>
    </r>
    <r>
      <rPr>
        <b/>
        <sz val="10"/>
        <color theme="1"/>
        <rFont val="Calibri"/>
        <family val="2"/>
        <charset val="162"/>
        <scheme val="minor"/>
      </rPr>
      <t>Risk Score</t>
    </r>
  </si>
  <si>
    <t>Risk Definition</t>
  </si>
  <si>
    <t>Accessory Supplier</t>
  </si>
  <si>
    <t>Low</t>
  </si>
  <si>
    <t>Tax Plate</t>
  </si>
  <si>
    <t>Al-Aziza</t>
  </si>
  <si>
    <t>Creentech</t>
  </si>
  <si>
    <t>Medium</t>
  </si>
  <si>
    <t>Personnel transportation service</t>
  </si>
  <si>
    <t>IT Support Provider</t>
  </si>
  <si>
    <t>High</t>
  </si>
  <si>
    <t>Social Compliance Audit</t>
  </si>
  <si>
    <t>C TPAT Self-Assessment</t>
  </si>
  <si>
    <t>C TPAT Training</t>
  </si>
  <si>
    <t>C TPAT Controller</t>
  </si>
  <si>
    <t>Insurence Debt</t>
  </si>
  <si>
    <t>Suitable</t>
  </si>
  <si>
    <t>Not Applicable</t>
  </si>
  <si>
    <t>NO</t>
  </si>
  <si>
    <t>Tehlike</t>
  </si>
  <si>
    <t>Risk</t>
  </si>
  <si>
    <t>Olasılık</t>
  </si>
  <si>
    <t>Şiddet</t>
  </si>
  <si>
    <t>Risk Puanı</t>
  </si>
  <si>
    <t>Önem Derecesi</t>
  </si>
  <si>
    <t>Mevcut Önlem</t>
  </si>
  <si>
    <t>Aksiyon</t>
  </si>
  <si>
    <t xml:space="preserve">DF </t>
  </si>
  <si>
    <t>Sorumlu</t>
  </si>
  <si>
    <t>Termin</t>
  </si>
  <si>
    <t>CTPAT Risk Assesment</t>
  </si>
  <si>
    <t>Hazard</t>
  </si>
  <si>
    <t>Severity</t>
  </si>
  <si>
    <t>Risk Score</t>
  </si>
  <si>
    <t>Likelihood</t>
  </si>
  <si>
    <t>Priority Level</t>
  </si>
  <si>
    <t>Existing Control(s)</t>
  </si>
  <si>
    <t>Corrective Action</t>
  </si>
  <si>
    <t>Responsible Person</t>
  </si>
  <si>
    <t>Target Date</t>
  </si>
  <si>
    <t>Yüksek</t>
  </si>
  <si>
    <t>Unauthorized entry</t>
  </si>
  <si>
    <t>Security</t>
  </si>
  <si>
    <t>HR &amp; IT</t>
  </si>
  <si>
    <t>Orta</t>
  </si>
  <si>
    <t>Warehouse Supervisor</t>
  </si>
  <si>
    <t>Shipment diversion</t>
  </si>
  <si>
    <t>Logistics</t>
  </si>
  <si>
    <t>Logistics &amp; Security</t>
  </si>
  <si>
    <t>Data breach</t>
  </si>
  <si>
    <t>IT</t>
  </si>
  <si>
    <t>HR</t>
  </si>
  <si>
    <t>Yetkisiz giriş</t>
  </si>
  <si>
    <r>
      <t>Ana veya Sevkiyat Kapılarından Yetkisiz Giriş:</t>
    </r>
    <r>
      <rPr>
        <sz val="11"/>
        <color theme="1"/>
        <rFont val="Calibri"/>
        <family val="2"/>
        <charset val="162"/>
        <scheme val="minor"/>
      </rPr>
      <t xml:space="preserve"> Kimlik kontrolü yapılmadan kişi veya araçların giriş sağlaması, kapı güvenliğinin atlatılması.</t>
    </r>
  </si>
  <si>
    <t>Kapıdan yetkisiz erişim</t>
  </si>
  <si>
    <t>Güvenlik</t>
  </si>
  <si>
    <r>
      <t>Personel Kartlarının Kötüye Kullanımı veya Kaybı Nedeniyle İç Alanlara Yetkisiz Erişim:</t>
    </r>
    <r>
      <rPr>
        <sz val="11"/>
        <color theme="1"/>
        <rFont val="Calibri"/>
        <family val="2"/>
        <charset val="162"/>
        <scheme val="minor"/>
      </rPr>
      <t xml:space="preserve"> Kartların paylaşılması, çalınması veya kaybolması nedeniyle hassas alanlara izinsiz giriş sağlanması.</t>
    </r>
  </si>
  <si>
    <t>İç alanlara izinsiz giriş</t>
  </si>
  <si>
    <t>IK &amp; IT</t>
  </si>
  <si>
    <r>
      <t>Ziyaretçilerin Tesis İçerisinde Kontrolsüz Dolaşması:</t>
    </r>
    <r>
      <rPr>
        <sz val="11"/>
        <color theme="1"/>
        <rFont val="Calibri"/>
        <family val="2"/>
        <charset val="162"/>
        <scheme val="minor"/>
      </rPr>
      <t xml:space="preserve"> Ziyaretçilerin üretim, depo veya kısıtlı alanlara refakatsiz girmesi.</t>
    </r>
  </si>
  <si>
    <t>Kontrolsüz ziyaret</t>
  </si>
  <si>
    <t>Depo Şefi</t>
  </si>
  <si>
    <r>
      <t>Yükleme veya Sevkiyat Sırasında Ürün Yönlendirme Hatası, Çalınma veya Sapma:</t>
    </r>
    <r>
      <rPr>
        <sz val="11"/>
        <color theme="1"/>
        <rFont val="Calibri"/>
        <family val="2"/>
        <charset val="162"/>
        <scheme val="minor"/>
      </rPr>
      <t xml:space="preserve"> Yükün yanlış araca verilmesi veya yönlendirilmesi, yetkisiz kişilerce erişilmesi.</t>
    </r>
  </si>
  <si>
    <t>Sevkiyat sapması</t>
  </si>
  <si>
    <t>Lojistik</t>
  </si>
  <si>
    <r>
      <t>Yanlış veya Doğrulanmamış Treyler/Konteyner Kullanımı:</t>
    </r>
    <r>
      <rPr>
        <sz val="11"/>
        <color theme="1"/>
        <rFont val="Calibri"/>
        <family val="2"/>
        <charset val="162"/>
        <scheme val="minor"/>
      </rPr>
      <t xml:space="preserve"> Treyler numarası eşleşmemesi, treyler değişimi veya sahte araç kullanımı.</t>
    </r>
  </si>
  <si>
    <t>Konteyner değişimi</t>
  </si>
  <si>
    <t>Lojistik &amp; Güvenlik</t>
  </si>
  <si>
    <r>
      <t>Güvenlik Mühürlerinin Manipülasyonu veya Sahteciliği:</t>
    </r>
    <r>
      <rPr>
        <sz val="11"/>
        <color theme="1"/>
        <rFont val="Calibri"/>
        <family val="2"/>
        <charset val="162"/>
        <scheme val="minor"/>
      </rPr>
      <t xml:space="preserve"> Mühürlerin kesilmesi, değiştirilmesi, sahte mühür kullanılması.</t>
    </r>
  </si>
  <si>
    <t>Mühür manipülasyonu</t>
  </si>
  <si>
    <r>
      <t>Operasyonel veya Sevkiyat Verilerinin Bulunduğu Sistemlere Yetkisiz Dijital Erişim:</t>
    </r>
    <r>
      <rPr>
        <sz val="11"/>
        <color theme="1"/>
        <rFont val="Calibri"/>
        <family val="2"/>
        <charset val="162"/>
        <scheme val="minor"/>
      </rPr>
      <t xml:space="preserve"> Zayıf şifreler, izinsiz kullanıcı girişleri veya sistem açıkları.</t>
    </r>
  </si>
  <si>
    <t>Veri ihlali</t>
  </si>
  <si>
    <r>
      <t>Phishing, Malware veya Sosyal Mühendislik Yoluyla Sistemlere Sızma Girişimleri:</t>
    </r>
    <r>
      <rPr>
        <sz val="11"/>
        <color theme="1"/>
        <rFont val="Calibri"/>
        <family val="2"/>
        <charset val="162"/>
        <scheme val="minor"/>
      </rPr>
      <t xml:space="preserve"> Personelin kandırılmasıyla sistemlere erişim sağlanması.</t>
    </r>
  </si>
  <si>
    <t>Siber saldırı</t>
  </si>
  <si>
    <r>
      <t>Yetersiz Arka Plan Kontrolü ile Yüksek Riskli Personelin İstihdamı:</t>
    </r>
    <r>
      <rPr>
        <sz val="11"/>
        <color theme="1"/>
        <rFont val="Calibri"/>
        <family val="2"/>
        <charset val="162"/>
        <scheme val="minor"/>
      </rPr>
      <t xml:space="preserve"> İç güvenlik riski oluşturabilecek çalışanların fark edilmemesi.</t>
    </r>
  </si>
  <si>
    <t>İç risk</t>
  </si>
  <si>
    <t>IK</t>
  </si>
  <si>
    <r>
      <t>Çalışanlarda Güvenlik Farkındalığının Yetersiz Olması:</t>
    </r>
    <r>
      <rPr>
        <sz val="11"/>
        <color theme="1"/>
        <rFont val="Calibri"/>
        <family val="2"/>
        <charset val="162"/>
        <scheme val="minor"/>
      </rPr>
      <t xml:space="preserve"> Şüpheli davranışların bildirilmemesi veya fark edilmemesi.</t>
    </r>
  </si>
  <si>
    <t>Düşük farkındalık</t>
  </si>
  <si>
    <r>
      <t>Arıtma Tesisi veya Kimyasal Depolama Alanına Yetkisiz Giriş:</t>
    </r>
    <r>
      <rPr>
        <sz val="11"/>
        <color theme="1"/>
        <rFont val="Calibri"/>
        <family val="2"/>
        <charset val="162"/>
        <scheme val="minor"/>
      </rPr>
      <t xml:space="preserve"> Kimyasal müdahale, sabotaj veya çevresel risk oluşumu.</t>
    </r>
  </si>
  <si>
    <r>
      <t>Güvenlik Seviyesi Yetersiz Tedarikçi, Nakliyeci veya Hizmet Sağlayıcılar ile Çalışma:</t>
    </r>
    <r>
      <rPr>
        <sz val="11"/>
        <color theme="1"/>
        <rFont val="Calibri"/>
        <family val="2"/>
        <charset val="162"/>
        <scheme val="minor"/>
      </rPr>
      <t xml:space="preserve"> Supply chain içine yasa dışı müdahale imkanının oluşması.</t>
    </r>
  </si>
  <si>
    <t>Tedarikçi riski</t>
  </si>
  <si>
    <t>Satınalma</t>
  </si>
  <si>
    <r>
      <t>Güvenlik Olaylarının Zamanında Bildirilmemesi veya Eskale Edilmemesi:</t>
    </r>
    <r>
      <rPr>
        <sz val="11"/>
        <color theme="1"/>
        <rFont val="Calibri"/>
        <family val="2"/>
        <charset val="162"/>
        <scheme val="minor"/>
      </rPr>
      <t xml:space="preserve"> İhlallerin geç fark edilmesi, delil kaybı ve güvenlik açığı oluşması.</t>
    </r>
  </si>
  <si>
    <r>
      <t>Bahçe Duvarının İhlal Edilmesi:</t>
    </r>
    <r>
      <rPr>
        <sz val="11"/>
        <color theme="1"/>
        <rFont val="Calibri"/>
        <family val="2"/>
        <charset val="162"/>
        <scheme val="minor"/>
      </rPr>
      <t xml:space="preserve"> 2.5 metrelik duvara tırmanılması veya zayıf noktaların kullanılması ile yetkisiz kişilerin tesis alanına girmeye çalışması.</t>
    </r>
  </si>
  <si>
    <t>1. Bahçe duvarının 2.5 m olması
2. Bahçe duvarı aydınlatması
3. Güvenlik kameraları ile 24 saat izlenmesi
4. 24 saat kamera ile izlenmesi</t>
  </si>
  <si>
    <t>Düşük</t>
  </si>
  <si>
    <t>Sürdürülebilirlik Departmanı</t>
  </si>
  <si>
    <t>1. Kimlik kontrolü, 
2. Ziyaretçi kaydı
3. 24 saat güvenlik ekibinin bulunması</t>
  </si>
  <si>
    <t>1. Çalışanların eğitilmesi
2. Hashas alanları giriş için görevli ID kullanılması</t>
  </si>
  <si>
    <t>Tüm Departmanlar</t>
  </si>
  <si>
    <r>
      <t>Depo veya Sevkiyat Alanlarında  Hırsızlık veya Yetkisiz İşlem Yapılması:</t>
    </r>
    <r>
      <rPr>
        <sz val="11"/>
        <color theme="1"/>
        <rFont val="Calibri"/>
        <family val="2"/>
        <charset val="162"/>
        <scheme val="minor"/>
      </rPr>
      <t xml:space="preserve"> Ürünlere izinsiz müdahale, ürün çıkarma veya yasa dışı ekleme riski.</t>
    </r>
  </si>
  <si>
    <t>1. Mühür,  
2. CCTV kayıtları
3. Yükleme boyunca güvenliğin eşlik etmesi</t>
  </si>
  <si>
    <t>Sevkiyata müdahale</t>
  </si>
  <si>
    <t>1. Şoför doğrulama
2. CCTV kayıtları
3. Yükleme boyunca güvenliğin eşlik etmesi</t>
  </si>
  <si>
    <t>1. Mühür kayıtları
2. Gümrük memur onayı</t>
  </si>
  <si>
    <t>1.Parola prosedürü
2. Eğitim</t>
  </si>
  <si>
    <t>IK &amp; Sürdürülebilirlik</t>
  </si>
  <si>
    <r>
      <t>Son Ürün Depo ve Metal Dedektör Alanlarına Yetkisiz Giriş:</t>
    </r>
    <r>
      <rPr>
        <sz val="11"/>
        <color theme="1"/>
        <rFont val="Calibri"/>
        <family val="2"/>
        <charset val="162"/>
        <scheme val="minor"/>
      </rPr>
      <t xml:space="preserve"> Ürünlere müdahale edilmesi veya manipülasyon riski.</t>
    </r>
  </si>
  <si>
    <t>Üretim alanı ve ürün riski</t>
  </si>
  <si>
    <t>1.Kısıtlı erişim
2. Eğitimler</t>
  </si>
  <si>
    <t>CCTV kör nokta analizi ve kamera layoutunun alınması</t>
  </si>
  <si>
    <t>IT ve Son ürün depo müdürü</t>
  </si>
  <si>
    <t>Arıtma ve kimyasal alanı riski</t>
  </si>
  <si>
    <t>Mevcut önlemlere devam edilecektir. Sistemin yeterliliği aylık iç denetimle ile denetlenecektir</t>
  </si>
  <si>
    <t xml:space="preserve">1. Onaylı tedarikçi listesi
2. Tedarikçi risk değerlendirmesi
3. Tedarikçi seçim prosedürü
</t>
  </si>
  <si>
    <t>Mevcut önlemlere devam edilecektir.</t>
  </si>
  <si>
    <t>Kritik</t>
  </si>
  <si>
    <t>1. Yılda en az 1 kez CTPAT güvenlik farkındalık eğitiminin verilmesi
2. Güvenlik politikası ve prosedürü</t>
  </si>
  <si>
    <t>Tüm personeller için eğitim tamamlanacak ve güvenlik politika ve prosedürü duyuru panolarında asılacak</t>
  </si>
  <si>
    <t>Güvenlik &amp; Sürdürülebilirlik</t>
  </si>
  <si>
    <t>Tüm çalışanlara CTPAT güvenlik farkındalığı eğitimlerinin verilecek ve düzenlik güvenlik denetimleriyle sistemin uygulanabilirliği denetlenecek</t>
  </si>
  <si>
    <t>Mevcut önlemlere devam edilecek ve sistemin uygunluğu 3 aylık güvenlik denetimleri ile denetlenecek</t>
  </si>
  <si>
    <t>Kayıp kart prosedürü yazılacak, tüm personel kartları zimmetlenerek çalışana verilecek</t>
  </si>
  <si>
    <t>Son ürün depoya otomatik kapı montajı yapılacak</t>
  </si>
  <si>
    <t>1. Ziyaretçi kartı
2. Ziyaretçinin ziyaret ettiği kişi/birime kadar eşlik edilmesi
3. Kısıtlı alana yetkisiz kişilerin girişlerinin kaydedilmesi</t>
  </si>
  <si>
    <t>Mevcut önlemlere devam edilecek ve sistemin uygunluğu düzenli olarak denetlenecek</t>
  </si>
  <si>
    <t>Sürekli</t>
  </si>
  <si>
    <t>Lojistik &amp; Depo</t>
  </si>
  <si>
    <t>Bilgisayar kullanıcılarına CTPAT siber güvenlik eğitimi verilecek. Şifrelerin her 3 ayda bir değiştirilmesi sağlanacak</t>
  </si>
  <si>
    <t>1. Firewall, antivirüs
2. IT prosedürleri</t>
  </si>
  <si>
    <t>Bilgisayar kullanıcılarına CTPAT siber güvenlik eğitimi verilecek.</t>
  </si>
  <si>
    <t>1. Referans kontrolü
2. İşe alım ve işten çıkarma prosedürü</t>
  </si>
  <si>
    <t>Mevcut önlemlere devam edilecektir. Sistemin yeterliliği, en az yılda 1 kez Sosyal Performans Takımı ile denetlenecektir.</t>
  </si>
  <si>
    <t>1. Oryantasyon eğitimleri
2. Yılda en az 1 kez CTPAT güvenlik farkındalık eğitiminin verilmesi
3. Eğitim prosedürü</t>
  </si>
  <si>
    <t>Tüm eğitimler tamamlanacak</t>
  </si>
  <si>
    <t>1. Kilitli alan
2. Bölüm sorumlusunun tanımlanması ve görevlendirilmesi</t>
  </si>
  <si>
    <t>HR / Güvenlik</t>
  </si>
  <si>
    <t>Karanlık alan yaratılması → güvenlik ihlali riski</t>
  </si>
  <si>
    <t>Kritik veri/güvenlik erişim riski</t>
  </si>
  <si>
    <t>Yanlış personelin kritik görevlerde çalışması</t>
  </si>
  <si>
    <t>Önceden plaka bildirimi zorunlu hale getirme</t>
  </si>
  <si>
    <t>Hemen</t>
  </si>
  <si>
    <t>Şüpheli paket, sahte kurye, paket değişimi riski</t>
  </si>
  <si>
    <r>
      <rPr>
        <b/>
        <sz val="11"/>
        <color theme="1"/>
        <rFont val="Calibri"/>
        <family val="2"/>
        <charset val="162"/>
        <scheme val="minor"/>
      </rPr>
      <t>İşten ayrılan personelin erişim hakları iptal edilmemesi:</t>
    </r>
    <r>
      <rPr>
        <sz val="11"/>
        <color theme="1"/>
        <rFont val="Calibri"/>
        <family val="2"/>
        <charset val="162"/>
        <scheme val="minor"/>
      </rPr>
      <t xml:space="preserve"> Turnike, kapı ve erişim sistemlerinin eski çalışan tarafından kötüye kullanılması riski.</t>
    </r>
  </si>
  <si>
    <t>İşletme güvenlik riski</t>
  </si>
  <si>
    <t>1. Çıkışta kart iptali, güvenlik bilgilendirmesi</t>
  </si>
  <si>
    <t>Dijital erişim log kontrolü yapılmalı ve çalışandan personel kartının zimmet formu ile geri alınması</t>
  </si>
  <si>
    <r>
      <rPr>
        <b/>
        <sz val="11"/>
        <color theme="1"/>
        <rFont val="Calibri"/>
        <family val="2"/>
        <charset val="162"/>
        <scheme val="minor"/>
      </rPr>
      <t>Kritik alanların anahtarlarının kaybolması veya yetkisiz kişilerin eline geçmesi:</t>
    </r>
    <r>
      <rPr>
        <sz val="11"/>
        <color theme="1"/>
        <rFont val="Calibri"/>
        <family val="2"/>
        <charset val="162"/>
        <scheme val="minor"/>
      </rPr>
      <t xml:space="preserve"> Depo, metal dedektör, server odası, kamera odası anahtarlarının kontrol dışına çıkması sonucu oluşabilecek güvenlik açığı.</t>
    </r>
  </si>
  <si>
    <t>İzinsiz erişim</t>
  </si>
  <si>
    <t>1. Anahtar envanter listesi, 
2. Anahtar teslim formu
3. Anahtar güvenliği prosedürü
4. Günlük güvenlik kontrol listesi</t>
  </si>
  <si>
    <t xml:space="preserve">Güvenlik </t>
  </si>
  <si>
    <t>Güvenlik  &amp; Sürdürülebilirlik Departmanı</t>
  </si>
  <si>
    <r>
      <rPr>
        <b/>
        <sz val="11"/>
        <color theme="1"/>
        <rFont val="Calibri"/>
        <family val="2"/>
        <charset val="162"/>
        <scheme val="minor"/>
      </rPr>
      <t>Açık alan aydınlatmasının arızalanması sonucu gölgeli veya karanlık bölgeler oluşması:</t>
    </r>
    <r>
      <rPr>
        <sz val="11"/>
        <color theme="1"/>
        <rFont val="Calibri"/>
        <family val="2"/>
        <charset val="162"/>
        <scheme val="minor"/>
      </rPr>
      <t xml:space="preserve"> Bahçe, otopark ve bina çevresinde görüş zafiyeti oluşması ve güvenlik kameralarının kör noktaya düşmesi riski.</t>
    </r>
  </si>
  <si>
    <t>1. 24 saat kamera sistemi ile izlenmesi, konunun anlık fark edilmesi
2. Aydınlatma sisteminin jeneratöre bağlanması
3. Düzenli saha turu</t>
  </si>
  <si>
    <r>
      <rPr>
        <b/>
        <sz val="11"/>
        <color theme="1"/>
        <rFont val="Calibri"/>
        <family val="2"/>
        <charset val="162"/>
        <scheme val="minor"/>
      </rPr>
      <t>Forkliftlerin çalışanlara, ziyaretçilere veya kameralara çarpma olasılığı:</t>
    </r>
    <r>
      <rPr>
        <sz val="11"/>
        <color theme="1"/>
        <rFont val="Calibri"/>
        <family val="2"/>
        <charset val="162"/>
        <scheme val="minor"/>
      </rPr>
      <t xml:space="preserve"> Malzeme taşıma sırasında hız, görüş kaybı veya yaya–araç ayrımının zayıflığından kaynaklanabilecek kaza riski.</t>
    </r>
  </si>
  <si>
    <t>Kamera sisteminin devre dışı kalması</t>
  </si>
  <si>
    <t>1. Sesli uyarı ve sensör sistemi
2. forklift eğitimi
3. 24 saat kamera sisteminin izlenmesi</t>
  </si>
  <si>
    <t>IT &amp; Güvenlik</t>
  </si>
  <si>
    <t>Yaya yolları çizilmeli, Kamera bakım planı oluşturulmalıdır</t>
  </si>
  <si>
    <t>Ürün ve müşteri güvenlik ihlali</t>
  </si>
  <si>
    <t>1. Metal dedektör
2. Düzenli kalibrasyonlar
3. günlük rutin kontroller (2 saatlik)</t>
  </si>
  <si>
    <t>Kalite ve Son ürün depo müdürü</t>
  </si>
  <si>
    <r>
      <rPr>
        <b/>
        <sz val="11"/>
        <color theme="1"/>
        <rFont val="Calibri"/>
        <family val="2"/>
        <charset val="162"/>
        <scheme val="minor"/>
      </rPr>
      <t>Server odasına yetkisiz erişim sonucu veri güvenliği ve sistem bütünlüğünün bozulması:</t>
    </r>
    <r>
      <rPr>
        <sz val="11"/>
        <color theme="1"/>
        <rFont val="Calibri"/>
        <family val="2"/>
        <charset val="162"/>
        <scheme val="minor"/>
      </rPr>
      <t xml:space="preserve"> IT odasında bulunan kritik sistemlere müdahale, sabotaj veya veri hırsızlığı riski.</t>
    </r>
  </si>
  <si>
    <r>
      <rPr>
        <b/>
        <sz val="11"/>
        <color theme="1"/>
        <rFont val="Calibri"/>
        <family val="2"/>
        <charset val="162"/>
        <scheme val="minor"/>
      </rPr>
      <t>Üretim alanında metal parçalarının ürüne karışması:</t>
    </r>
    <r>
      <rPr>
        <sz val="11"/>
        <color theme="1"/>
        <rFont val="Calibri"/>
        <family val="2"/>
        <charset val="162"/>
        <scheme val="minor"/>
      </rPr>
      <t xml:space="preserve"> İğne, makine parçaları, metal kırıkları gibi yabancı malzemenin ürün bütünlüğünü ve müşteri güvenliğini tehlikeye atması.</t>
    </r>
  </si>
  <si>
    <t>1. Kilitli oda, 
2. Sadece yetkili giriş</t>
  </si>
  <si>
    <r>
      <rPr>
        <b/>
        <sz val="11"/>
        <color theme="1"/>
        <rFont val="Calibri"/>
        <family val="2"/>
        <charset val="162"/>
        <scheme val="minor"/>
      </rPr>
      <t xml:space="preserve">Güvenlik açısından kritik pozisyonlara uygun olmayan personelin atanması: </t>
    </r>
    <r>
      <rPr>
        <sz val="11"/>
        <color theme="1"/>
        <rFont val="Calibri"/>
        <family val="2"/>
        <charset val="162"/>
        <scheme val="minor"/>
      </rPr>
      <t>Güvenlik, lojistik, sevkiyat, metal dedektör operatörü ve IT gibi hassas roller için güvenlik geçmişi yetersiz kişilerin seçilmesi.</t>
    </r>
  </si>
  <si>
    <t>1. Referans kontrolü, 
2. Kimlik doğrulama
3. Her 6 ayda bir sabıka kaydının yenilenmesi
4. İşe alım ve işten çıkarma prosedürü</t>
  </si>
  <si>
    <r>
      <rPr>
        <b/>
        <sz val="11"/>
        <color theme="1"/>
        <rFont val="Calibri"/>
        <family val="2"/>
        <charset val="162"/>
        <scheme val="minor"/>
      </rPr>
      <t>Sevkiyat için gelen kamyonun doğruluğunun teyit edilememesi:</t>
    </r>
    <r>
      <rPr>
        <sz val="11"/>
        <color theme="1"/>
        <rFont val="Calibri"/>
        <family val="2"/>
        <charset val="162"/>
        <scheme val="minor"/>
      </rPr>
      <t xml:space="preserve"> Plaka uyuşmazlığı, yanlış araçla yükleme yapılması veya sahte nakliye girişimleri.</t>
    </r>
  </si>
  <si>
    <t>Yükün yanlış araca verilmesi, ürün kaybı, güvenlik riski</t>
  </si>
  <si>
    <t>1. Araç plakası kontrolü</t>
  </si>
  <si>
    <r>
      <rPr>
        <b/>
        <sz val="11"/>
        <color theme="1"/>
        <rFont val="Calibri"/>
        <family val="2"/>
        <charset val="162"/>
        <scheme val="minor"/>
      </rPr>
      <t>Kargo teslimatlarında şüpheli paket, sahte kurye veya paket değişimi riski:</t>
    </r>
    <r>
      <rPr>
        <sz val="11"/>
        <color theme="1"/>
        <rFont val="Calibri"/>
        <family val="2"/>
        <charset val="162"/>
        <scheme val="minor"/>
      </rPr>
      <t xml:space="preserve"> İşletmeye gelen küçük paketlerin içerik açısından kontrolsüz kalması.</t>
    </r>
  </si>
  <si>
    <t>1. Kargo kayıt defteri, 
2. Güvenlik kontrolü
3. Kargo ve ziyaretçi prosedürü</t>
  </si>
  <si>
    <t>Mevcut önlemlere devam edilecektir. Sistemin sürekliliği 3 aylık güvenlik denetimlerinde denetlenmeli</t>
  </si>
  <si>
    <t>Çok Düşük: 1</t>
  </si>
  <si>
    <t>Düşük: 2</t>
  </si>
  <si>
    <t>Orta: 3</t>
  </si>
  <si>
    <t xml:space="preserve">Yüksek: 4 </t>
  </si>
  <si>
    <t>Çok Yüksek: 5</t>
  </si>
  <si>
    <t>Olasılık / Şiddet</t>
  </si>
  <si>
    <t>Likelihood / Severity</t>
  </si>
  <si>
    <t>Very Low: 1</t>
  </si>
  <si>
    <t>Low: 2</t>
  </si>
  <si>
    <t>Medium: 3</t>
  </si>
  <si>
    <t xml:space="preserve">High: 4 </t>
  </si>
  <si>
    <t>Very High: 5</t>
  </si>
  <si>
    <r>
      <rPr>
        <b/>
        <sz val="11"/>
        <color theme="1"/>
        <rFont val="Calibri"/>
        <family val="2"/>
        <charset val="162"/>
        <scheme val="minor"/>
      </rPr>
      <t>Risk Önceliklendirme:</t>
    </r>
    <r>
      <rPr>
        <sz val="11"/>
        <color theme="1"/>
        <rFont val="Calibri"/>
        <family val="2"/>
        <charset val="162"/>
        <scheme val="minor"/>
      </rPr>
      <t xml:space="preserve"> Riskin önemini tayin etmek amacıyla tahmin edilen riskin verilen risk  kriteri ile karşılaştırılması sürecidir</t>
    </r>
  </si>
  <si>
    <r>
      <t>Risk Prioritization:</t>
    </r>
    <r>
      <rPr>
        <sz val="11"/>
        <color theme="1"/>
        <rFont val="Calibri"/>
        <family val="2"/>
        <charset val="162"/>
        <scheme val="minor"/>
      </rPr>
      <t xml:space="preserve"> It is the process of comparing the estimated risk with the given risk criterion in order to determine the significance of the risk.</t>
    </r>
  </si>
  <si>
    <t>Risk Puan Aralığı</t>
  </si>
  <si>
    <t>Risk Önem Derecesi</t>
  </si>
  <si>
    <t>Açıklama</t>
  </si>
  <si>
    <t>1-6</t>
  </si>
  <si>
    <t>7-11</t>
  </si>
  <si>
    <t>12-19</t>
  </si>
  <si>
    <t>20 ve üzeri</t>
  </si>
  <si>
    <t>Çok Yüksek</t>
  </si>
  <si>
    <t>Herhangi bir önlem gerekmez</t>
  </si>
  <si>
    <t>Risk denetim altında tutulmalıdır</t>
  </si>
  <si>
    <t>Kök sebep analizi yapılır. Ek önlemler alınması gerekebilir</t>
  </si>
  <si>
    <t>Kök sebep analizi yapılır. Ek önlemler alınması gerekir</t>
  </si>
  <si>
    <t>Risk Score Range</t>
  </si>
  <si>
    <t>Risk Severity</t>
  </si>
  <si>
    <t>Description</t>
  </si>
  <si>
    <t>Very High</t>
  </si>
  <si>
    <t>No action is required</t>
  </si>
  <si>
    <t>The risk should be kept under control</t>
  </si>
  <si>
    <t>Root cause analysis is conducted. Additional measures must be taken</t>
  </si>
  <si>
    <t>Root cause analysis is conducted. Additional measures may be required</t>
  </si>
  <si>
    <t>CTPAT Risk Değerlendirmesi</t>
  </si>
  <si>
    <t>Unauthorized access through the gate</t>
  </si>
  <si>
    <t>Unauthorized access to internal areas</t>
  </si>
  <si>
    <t>Unsupervised visitor movement</t>
  </si>
  <si>
    <t>Interference with shipment</t>
  </si>
  <si>
    <t>Container/trailer swap</t>
  </si>
  <si>
    <t>Seal tampering</t>
  </si>
  <si>
    <t>Cyberattack</t>
  </si>
  <si>
    <t>Insider risk</t>
  </si>
  <si>
    <t>Low security awareness</t>
  </si>
  <si>
    <t>Production area and product risk</t>
  </si>
  <si>
    <t>Wastewater treatment and chemical area risk</t>
  </si>
  <si>
    <t>Supplier risk</t>
  </si>
  <si>
    <t>Existing controls will be maintained</t>
  </si>
  <si>
    <t>Facility security risk</t>
  </si>
  <si>
    <t>Unauthorized access</t>
  </si>
  <si>
    <t>Creation of dark areas, security breach risk</t>
  </si>
  <si>
    <t>Security camera system failure</t>
  </si>
  <si>
    <t>Product and customer safety breach</t>
  </si>
  <si>
    <t>Critical data/security access risk</t>
  </si>
  <si>
    <t>Incorrect personnel assigned to critical roles</t>
  </si>
  <si>
    <t>Cargo loaded onto the wrong vehicle, product loss, security risk</t>
  </si>
  <si>
    <t>Suspicious package, fake courier, package tampering risk</t>
  </si>
  <si>
    <t>1. Perimeter wall height of 2.5 meters
2. Perimeter wall lighting
3. 24-hour monitoring with security cameras
4. Continuous 24-hour camera surveillance</t>
  </si>
  <si>
    <t>All employees will receive CTPAT security awareness training, and the implementation of the system will be monitored through regular security audits.</t>
  </si>
  <si>
    <t>1. ID verification
2. Visitor registration
3. Presence of security personnel 24/7</t>
  </si>
  <si>
    <t>Existing controls will be maintained, and system compliance will be verified through quarterly security audits.</t>
  </si>
  <si>
    <t>1. Training of employees
2. Use of authorized IDs for access to sensitive areas</t>
  </si>
  <si>
    <t>A lost card procedure will be established, and all employee cards will be assigned and issued to personnel.</t>
  </si>
  <si>
    <t>1. Visitor ID card
2. Escorting visitors to the person/department they are visiting
3. Recording unauthorized access to restricted areas</t>
  </si>
  <si>
    <t>An automatic door will be installed at the finished goods warehouse.</t>
  </si>
  <si>
    <t>1. Seal
2. CCTV recordings
3. Security escort during loading</t>
  </si>
  <si>
    <t>1. Driver verification
2. CCTV recordings
3. Security escort during loading</t>
  </si>
  <si>
    <t>Existing controls will be maintained, and system compliance will be regularly audited.</t>
  </si>
  <si>
    <t>1. Seal records
2. Customs officer approval</t>
  </si>
  <si>
    <t>1.Password procedure
2. Training</t>
  </si>
  <si>
    <t>CTPAT cybersecurity training will be provided to computer users, and passwords will be required to be changed every three months.</t>
  </si>
  <si>
    <t>1. Firewall, antivirüs
2. IT procedures</t>
  </si>
  <si>
    <t>CTPAT cybersecurity training will be provided to computer users.</t>
  </si>
  <si>
    <t>1. Reference checks
2. Hiring and termination procedures</t>
  </si>
  <si>
    <t>Existing controls will be maintained. System adequacy will be audited at least once a year by the Social Performance Team.</t>
  </si>
  <si>
    <t>1. Orientation training
2. Providing CTPAT security awareness training at least once a year
3. Training procedure</t>
  </si>
  <si>
    <t>All trainings will be completed.</t>
  </si>
  <si>
    <t>1.Restricted access
2. Trainings</t>
  </si>
  <si>
    <t>Blind spot analysis of CCTV and camera layout assessment will be conducted.</t>
  </si>
  <si>
    <t>1. Locked area
2. Identification and assignment of department responsible</t>
  </si>
  <si>
    <t>Existing controls will be maintained. System adequacy will be audited through monthly internal audits.</t>
  </si>
  <si>
    <t xml:space="preserve">1. Approved supplier list
2. Supplier risk assessment
3. Supplier selection procedure
</t>
  </si>
  <si>
    <t>Existing controls will be maintained.</t>
  </si>
  <si>
    <t>1. Providing CTPAT security awareness training at least once a year
2. Security policy and procedure</t>
  </si>
  <si>
    <t>1. Card deactivation upon exit, security briefing</t>
  </si>
  <si>
    <t>Digital access logs should be checked, and the employee’s ID card should be collected using a card assignment form.</t>
  </si>
  <si>
    <t>1. Key inventory list
2. Key handover form
3. Key security procedure
4. Daily security checklist</t>
  </si>
  <si>
    <t>1. 24-hour monitoring with camera system for real-time detection
2. Connecting the lighting system to a generator
3. Regular site patrols</t>
  </si>
  <si>
    <t>1. Audible alarm and sensor system
2.Forklift training
3. 24-hour camera monitoring</t>
  </si>
  <si>
    <t>Pedestrian pathways should be marked, and a camera maintenance plan should be established.</t>
  </si>
  <si>
    <t>1. Metal detector
2. Regular calibrations
3. Daily routine checks (every 2 hours)</t>
  </si>
  <si>
    <t>1. Locked room
2. Authorized personnel only</t>
  </si>
  <si>
    <t>1. Reference checks
2. Identity verification
3. Renewal of criminal record every 6 months
4. Hiring and termination procedures</t>
  </si>
  <si>
    <t>1. Vehicle license plate verification</t>
  </si>
  <si>
    <t>Making prior license plate notification mandatory.</t>
  </si>
  <si>
    <t>1. Cargo logbook
2. Security check
3. Cargo and visitor procedure</t>
  </si>
  <si>
    <t>Existing controls will be maintained, and system continuity should be audited during quarterly security inspections.</t>
  </si>
  <si>
    <t>Continuous</t>
  </si>
  <si>
    <t>Now</t>
  </si>
  <si>
    <t>Sustainability Department</t>
  </si>
  <si>
    <t>Security  &amp; Sustainability Department</t>
  </si>
  <si>
    <t>All Departments</t>
  </si>
  <si>
    <t>Logistics &amp; Warehouse</t>
  </si>
  <si>
    <t>HR &amp; Sustainability Department</t>
  </si>
  <si>
    <t>IT and Final product warehouse manager</t>
  </si>
  <si>
    <t>Purchase</t>
  </si>
  <si>
    <t>HR / Security</t>
  </si>
  <si>
    <t>IT &amp; Security</t>
  </si>
  <si>
    <t>Quality and Final product warehouse manager</t>
  </si>
  <si>
    <r>
      <t xml:space="preserve">Breach of Perimeter Wall: </t>
    </r>
    <r>
      <rPr>
        <sz val="11"/>
        <color theme="1"/>
        <rFont val="Calibri"/>
        <family val="2"/>
        <charset val="162"/>
        <scheme val="minor"/>
      </rPr>
      <t>Attempts by unauthorized individuals to enter the facility premises by climbing the 2.5-meter wall or exploiting weak points.</t>
    </r>
  </si>
  <si>
    <r>
      <t xml:space="preserve">Unauthorized Entry Through Main or Shipping Gates: </t>
    </r>
    <r>
      <rPr>
        <sz val="11"/>
        <color theme="1"/>
        <rFont val="Calibri"/>
        <family val="2"/>
        <charset val="162"/>
        <scheme val="minor"/>
      </rPr>
      <t>Individuals or vehicles entering without ID verification or bypassing gate security.</t>
    </r>
  </si>
  <si>
    <r>
      <t>Unauthorized Access to Internal Areas Due to Misuse or Loss of Employee ID Cards:</t>
    </r>
    <r>
      <rPr>
        <sz val="11"/>
        <color theme="1"/>
        <rFont val="Calibri"/>
        <family val="2"/>
        <charset val="162"/>
        <scheme val="minor"/>
      </rPr>
      <t xml:space="preserve"> Sharing, theft, or loss of cards leading to unauthorized access to sensitive areas.</t>
    </r>
  </si>
  <si>
    <r>
      <t>Visitors Moving Unsupervised Within the Facility:</t>
    </r>
    <r>
      <rPr>
        <sz val="11"/>
        <color theme="1"/>
        <rFont val="Calibri"/>
        <family val="2"/>
        <charset val="162"/>
        <scheme val="minor"/>
      </rPr>
      <t xml:space="preserve"> Visitors entering production, warehouse, or restricted areas without proper escort.</t>
    </r>
  </si>
  <si>
    <r>
      <t xml:space="preserve">Theft or Unauthorized Activity in Warehouse or Shipping Areas: </t>
    </r>
    <r>
      <rPr>
        <sz val="11"/>
        <color theme="1"/>
        <rFont val="Calibri"/>
        <family val="2"/>
        <charset val="162"/>
        <scheme val="minor"/>
      </rPr>
      <t>Unauthorized interference with products, removal of goods, or risk of illegal additions.</t>
    </r>
  </si>
  <si>
    <r>
      <t>Misrouting, Theft, or Diversion of Products During Loading or Shipment:</t>
    </r>
    <r>
      <rPr>
        <sz val="11"/>
        <color theme="1"/>
        <rFont val="Calibri"/>
        <family val="2"/>
        <charset val="162"/>
        <scheme val="minor"/>
      </rPr>
      <t xml:space="preserve"> Cargo being loaded onto the wrong vehicle, misdirected, or accessed by unauthorized individuals.</t>
    </r>
  </si>
  <si>
    <r>
      <t xml:space="preserve">Use of Incorrect or Unverified Trailer/Container: </t>
    </r>
    <r>
      <rPr>
        <sz val="11"/>
        <color theme="1"/>
        <rFont val="Calibri"/>
        <family val="2"/>
        <charset val="162"/>
        <scheme val="minor"/>
      </rPr>
      <t>Trailer number mismatch, trailer swaps, or use of fraudulent vehicles.</t>
    </r>
  </si>
  <si>
    <r>
      <t xml:space="preserve">Tampering or Counterfeiting of Security Seals: </t>
    </r>
    <r>
      <rPr>
        <sz val="11"/>
        <color theme="1"/>
        <rFont val="Calibri"/>
        <family val="2"/>
        <charset val="162"/>
        <scheme val="minor"/>
      </rPr>
      <t>Cutting, replacing, or using fake seals.</t>
    </r>
  </si>
  <si>
    <r>
      <t xml:space="preserve">Unauthorized Digital Access to Systems Containing Operational or Shipment Data: </t>
    </r>
    <r>
      <rPr>
        <sz val="11"/>
        <color theme="1"/>
        <rFont val="Calibri"/>
        <family val="2"/>
        <charset val="162"/>
        <scheme val="minor"/>
      </rPr>
      <t>Weak passwords, unauthorized logins, or system vulnerabilities.</t>
    </r>
  </si>
  <si>
    <r>
      <t xml:space="preserve">Attempts to Breach Systems Through Phishing, Malware, or Social Engineering: </t>
    </r>
    <r>
      <rPr>
        <sz val="11"/>
        <color theme="1"/>
        <rFont val="Calibri"/>
        <family val="2"/>
        <charset val="162"/>
        <scheme val="minor"/>
      </rPr>
      <t>Gaining system access by deceiving personnel.</t>
    </r>
  </si>
  <si>
    <r>
      <t>Employment of High-Risk Personnel Due to Insufficient Background Screening:</t>
    </r>
    <r>
      <rPr>
        <sz val="11"/>
        <color theme="1"/>
        <rFont val="Calibri"/>
        <family val="2"/>
        <charset val="162"/>
        <scheme val="minor"/>
      </rPr>
      <t xml:space="preserve"> Failure to identify employees who may pose internal security risks.</t>
    </r>
  </si>
  <si>
    <r>
      <t>Insufficient Security Awareness Among Employees:</t>
    </r>
    <r>
      <rPr>
        <sz val="11"/>
        <color theme="1"/>
        <rFont val="Calibri"/>
        <family val="2"/>
        <charset val="162"/>
        <scheme val="minor"/>
      </rPr>
      <t xml:space="preserve"> Failure to notice or report suspicious behaviors.</t>
    </r>
  </si>
  <si>
    <r>
      <t>Unauthorized Entry into Finished Goods Warehouse and Metal Detector Areas:</t>
    </r>
    <r>
      <rPr>
        <sz val="11"/>
        <color theme="1"/>
        <rFont val="Calibri"/>
        <family val="2"/>
        <charset val="162"/>
        <scheme val="minor"/>
      </rPr>
      <t xml:space="preserve"> Risk of product interference or manipulation.</t>
    </r>
  </si>
  <si>
    <r>
      <t>Unauthorized Access to the Wastewater Treatment Plant or Chemical Storage Area:</t>
    </r>
    <r>
      <rPr>
        <sz val="11"/>
        <color theme="1"/>
        <rFont val="Calibri"/>
        <family val="2"/>
        <charset val="162"/>
        <scheme val="minor"/>
      </rPr>
      <t xml:space="preserve"> Risk of chemical tampering, sabotage, or environmental hazards.</t>
    </r>
  </si>
  <si>
    <r>
      <t>Working with Suppliers, Transporters, or Service Providers with Inadequate Security Levels:</t>
    </r>
    <r>
      <rPr>
        <sz val="11"/>
        <color theme="1"/>
        <rFont val="Calibri"/>
        <family val="2"/>
        <charset val="162"/>
        <scheme val="minor"/>
      </rPr>
      <t xml:space="preserve"> Increased opportunity for illegal interference within the supply chain.</t>
    </r>
  </si>
  <si>
    <r>
      <t>Failure to Report or Escalate Security Incidents in a Timely Manner:</t>
    </r>
    <r>
      <rPr>
        <sz val="11"/>
        <color theme="1"/>
        <rFont val="Calibri"/>
        <family val="2"/>
        <charset val="162"/>
        <scheme val="minor"/>
      </rPr>
      <t xml:space="preserve"> Late detection of breaches, loss of evidence, and creation of security vulnerabilities.</t>
    </r>
  </si>
  <si>
    <r>
      <t>Access Rights Not Revoked for Employees Who Leave the Company:</t>
    </r>
    <r>
      <rPr>
        <sz val="11"/>
        <color theme="1"/>
        <rFont val="Calibri"/>
        <family val="2"/>
        <charset val="162"/>
        <scheme val="minor"/>
      </rPr>
      <t xml:space="preserve"> Risk of misuse of turnstiles, doors, and access systems by former personnel.</t>
    </r>
  </si>
  <si>
    <r>
      <t>Loss or Unauthorized Possession of Keys for Critical Areas:</t>
    </r>
    <r>
      <rPr>
        <sz val="11"/>
        <color theme="1"/>
        <rFont val="Calibri"/>
        <family val="2"/>
        <charset val="162"/>
        <scheme val="minor"/>
      </rPr>
      <t xml:space="preserve"> Security gaps caused by keys for the warehouse, metal detector area, server room, or CCTV room falling out of controlled access.</t>
    </r>
  </si>
  <si>
    <r>
      <t>Malfunctioning Outdoor Lighting Leading to Shadowed or Dark Areas:</t>
    </r>
    <r>
      <rPr>
        <sz val="11"/>
        <color theme="1"/>
        <rFont val="Calibri"/>
        <family val="2"/>
        <charset val="162"/>
        <scheme val="minor"/>
      </rPr>
      <t xml:space="preserve"> Reduced visibility in the yard, parking lot, and building perimeter, increasing blind spots for security cameras.</t>
    </r>
  </si>
  <si>
    <r>
      <t>Risk of Forklifts Colliding with Employees, Visitors, or Cameras:</t>
    </r>
    <r>
      <rPr>
        <sz val="11"/>
        <color theme="1"/>
        <rFont val="Calibri"/>
        <family val="2"/>
        <charset val="162"/>
        <scheme val="minor"/>
      </rPr>
      <t xml:space="preserve"> Potential accidents due to speed, limited visibility, or inadequate separation between pedestrians and vehicles during material handling.</t>
    </r>
  </si>
  <si>
    <r>
      <t>Metal Parts Contaminating the Product in the Production Area:</t>
    </r>
    <r>
      <rPr>
        <sz val="11"/>
        <color theme="1"/>
        <rFont val="Calibri"/>
        <family val="2"/>
        <charset val="162"/>
        <scheme val="minor"/>
      </rPr>
      <t xml:space="preserve"> Needles, machine parts, or metal fragments compromising product integrity and customer safety.</t>
    </r>
  </si>
  <si>
    <r>
      <t>Unauthorized Access to the Server Room Leading to Compromised Data Security and System Integrity:</t>
    </r>
    <r>
      <rPr>
        <sz val="11"/>
        <color theme="1"/>
        <rFont val="Calibri"/>
        <family val="2"/>
        <charset val="162"/>
        <scheme val="minor"/>
      </rPr>
      <t xml:space="preserve"> Tampering, sabotage, or data theft involving critical IT systems.</t>
    </r>
  </si>
  <si>
    <r>
      <t>Assignment of Inappropriate Personnel to Security-Critical Positions:</t>
    </r>
    <r>
      <rPr>
        <sz val="11"/>
        <color theme="1"/>
        <rFont val="Calibri"/>
        <family val="2"/>
        <charset val="162"/>
        <scheme val="minor"/>
      </rPr>
      <t xml:space="preserve"> Individuals with insufficient security backgrounds being appointed to sensitive roles such as security, logistics, shipping, metal detector operators, or IT.</t>
    </r>
  </si>
  <si>
    <r>
      <t>Inability to Verify the Accuracy of the Truck Arriving for Shipment:</t>
    </r>
    <r>
      <rPr>
        <sz val="11"/>
        <color theme="1"/>
        <rFont val="Calibri"/>
        <family val="2"/>
        <charset val="162"/>
        <scheme val="minor"/>
      </rPr>
      <t xml:space="preserve"> License plate mismatches, loading onto the wrong vehicle, or fraudulent transportation attempts.</t>
    </r>
  </si>
  <si>
    <r>
      <t>Risk of Suspicious Packages, Fake Couriers, or Package Swapping in Cargo Deliveries:</t>
    </r>
    <r>
      <rPr>
        <sz val="11"/>
        <color theme="1"/>
        <rFont val="Calibri"/>
        <family val="2"/>
        <charset val="162"/>
        <scheme val="minor"/>
      </rPr>
      <t xml:space="preserve"> Lack of proper control over small packages delivered to the facility.</t>
    </r>
  </si>
  <si>
    <t>1. Kapı kayıtları
2. Alınan ikrarda konteyner numarasının belirtilmesi</t>
  </si>
  <si>
    <t>1. Gate logs
2. Indicating the container number in the received declaration/undertaking.</t>
  </si>
  <si>
    <t xml:space="preserve">Mevcut önlemlere devam edilecek ve 9 adımlı konteyner kontrol formu oluşturulacak.  
</t>
  </si>
  <si>
    <t xml:space="preserve">Existing controls will be maintained, and a 9-step container inspection form will be established.
</t>
  </si>
  <si>
    <t>Kanaan</t>
  </si>
  <si>
    <t>Haksever</t>
  </si>
  <si>
    <t>Coats</t>
  </si>
  <si>
    <t>Trimco</t>
  </si>
  <si>
    <t>SML</t>
  </si>
  <si>
    <t>Polsan</t>
  </si>
  <si>
    <t>Prym</t>
  </si>
  <si>
    <t>Dikmen Metal</t>
  </si>
  <si>
    <t>Turteks</t>
  </si>
  <si>
    <t>Moon Stone</t>
  </si>
  <si>
    <t>Check Point HK</t>
  </si>
  <si>
    <t>Raw Material Supplier (Fabric)</t>
  </si>
  <si>
    <t>Realtex,</t>
  </si>
  <si>
    <t>Kipaş</t>
  </si>
  <si>
    <t>Cotton Fabric</t>
  </si>
  <si>
    <t>Odak</t>
  </si>
  <si>
    <t>Wdenim</t>
  </si>
  <si>
    <t>Nishat</t>
  </si>
  <si>
    <t>Bossa</t>
  </si>
  <si>
    <t>Çalık</t>
  </si>
  <si>
    <t>Recott</t>
  </si>
  <si>
    <t>Yedikardeşler</t>
  </si>
  <si>
    <t>Tüsa</t>
  </si>
  <si>
    <t>Freudenberg</t>
  </si>
  <si>
    <t>Haama</t>
  </si>
  <si>
    <t>Özel Tela</t>
  </si>
  <si>
    <t>Interlining - felt</t>
  </si>
  <si>
    <t>Raw Material Supplier  (Interlining)</t>
  </si>
  <si>
    <t>Raw Material Supplier  (Pocketlining)</t>
  </si>
  <si>
    <t>Statuse</t>
  </si>
  <si>
    <t>Complated</t>
  </si>
  <si>
    <t>Training will be completed for all personnel, and the security policy and procedure will be posted on announce boards.</t>
  </si>
  <si>
    <t>Seal tampering or replacement</t>
  </si>
  <si>
    <t>Unauthorized items inserted into shipment</t>
  </si>
  <si>
    <r>
      <t>Container sealing</t>
    </r>
    <r>
      <rPr>
        <sz val="11"/>
        <color theme="1"/>
        <rFont val="Calibri"/>
        <family val="2"/>
        <scheme val="minor"/>
      </rPr>
      <t xml:space="preserve"> </t>
    </r>
  </si>
  <si>
    <t>Reinforce inspection procedures, train staff</t>
  </si>
  <si>
    <t>7-point container inspection, CCTV monitoring</t>
  </si>
  <si>
    <t>Logistics Manager</t>
  </si>
  <si>
    <t>Seal broken or replaced</t>
  </si>
  <si>
    <t>High Security Seals, seal number recorded</t>
  </si>
  <si>
    <t>Verify seals at loading and port</t>
  </si>
  <si>
    <t>Cargo theft</t>
  </si>
  <si>
    <t>Unauthorized stops</t>
  </si>
  <si>
    <t>Document fraud</t>
  </si>
  <si>
    <t>Loss of shipment during transport</t>
  </si>
  <si>
    <t>Approved transport company, GPS tracking</t>
  </si>
  <si>
    <t>Enhance GPS monitoring and route security</t>
  </si>
  <si>
    <t>Transport Coordinator</t>
  </si>
  <si>
    <t>Truck stops at unapproved locations</t>
  </si>
  <si>
    <t>Defined approved stops</t>
  </si>
  <si>
    <t>Enforce route compliance, driver training</t>
  </si>
  <si>
    <t>Falsification or alteration of shipping documents</t>
  </si>
  <si>
    <t>Unauthorized persons approaching cargo</t>
  </si>
  <si>
    <t>Document verification before handover</t>
  </si>
  <si>
    <t>Implement double-checking of documents</t>
  </si>
  <si>
    <t>Shipping Admin</t>
  </si>
  <si>
    <t>Secured loading area, monitored by CCTV</t>
  </si>
  <si>
    <t>Improve fencing and access control</t>
  </si>
  <si>
    <t>Security chief</t>
  </si>
  <si>
    <t xml:space="preserve">Document No:    </t>
  </si>
  <si>
    <t>Approval Date:</t>
  </si>
  <si>
    <t>Revision No</t>
  </si>
  <si>
    <t xml:space="preserve">Revision Date:       </t>
  </si>
  <si>
    <t>EMS.AF.RA.001</t>
  </si>
  <si>
    <t>15.3.2026</t>
  </si>
  <si>
    <t>000</t>
  </si>
  <si>
    <t>00.00.0000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</si>
</sst>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" fontId="3" fillId="2" borderId="1" xfId="0" quotePrefix="1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quotePrefix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8" borderId="13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8" borderId="14" xfId="0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7620</xdr:colOff>
      <xdr:row>4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8EA1B8-4F97-6C38-C779-19E777C0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251460"/>
          <a:ext cx="2202180" cy="9829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723B-91A6-4EBD-A39F-F71D35894DC8}">
  <dimension ref="B2:I41"/>
  <sheetViews>
    <sheetView showGridLines="0" workbookViewId="0">
      <selection activeCell="G7" sqref="G7"/>
    </sheetView>
  </sheetViews>
  <sheetFormatPr defaultColWidth="9.109375" defaultRowHeight="20.25" customHeight="1" x14ac:dyDescent="0.3"/>
  <cols>
    <col min="1" max="1" width="9.109375" style="13"/>
    <col min="2" max="2" width="32" style="13" customWidth="1"/>
    <col min="3" max="3" width="30" style="13" bestFit="1" customWidth="1"/>
    <col min="4" max="4" width="17.6640625" style="18" customWidth="1"/>
    <col min="5" max="5" width="10.88671875" style="18" customWidth="1"/>
    <col min="6" max="6" width="25.88671875" style="18" customWidth="1"/>
    <col min="7" max="7" width="11.88671875" style="18" customWidth="1"/>
    <col min="8" max="8" width="18.33203125" style="18" customWidth="1"/>
    <col min="9" max="9" width="31.109375" style="13" customWidth="1"/>
    <col min="10" max="16384" width="9.109375" style="13"/>
  </cols>
  <sheetData>
    <row r="2" spans="2:9" ht="20.25" customHeight="1" x14ac:dyDescent="0.3">
      <c r="B2" s="72"/>
      <c r="C2" s="75" t="s">
        <v>8</v>
      </c>
      <c r="D2" s="76"/>
      <c r="E2" s="76"/>
      <c r="F2" s="76"/>
      <c r="G2" s="77"/>
      <c r="H2" s="91" t="s">
        <v>380</v>
      </c>
      <c r="I2" s="90" t="s">
        <v>384</v>
      </c>
    </row>
    <row r="3" spans="2:9" ht="20.25" customHeight="1" x14ac:dyDescent="0.3">
      <c r="B3" s="73"/>
      <c r="C3" s="78"/>
      <c r="D3" s="79"/>
      <c r="E3" s="79"/>
      <c r="F3" s="79"/>
      <c r="G3" s="80"/>
      <c r="H3" s="91" t="s">
        <v>381</v>
      </c>
      <c r="I3" s="90" t="s">
        <v>385</v>
      </c>
    </row>
    <row r="4" spans="2:9" ht="20.25" customHeight="1" x14ac:dyDescent="0.3">
      <c r="B4" s="73"/>
      <c r="C4" s="78"/>
      <c r="D4" s="79"/>
      <c r="E4" s="79"/>
      <c r="F4" s="79"/>
      <c r="G4" s="80"/>
      <c r="H4" s="91" t="s">
        <v>382</v>
      </c>
      <c r="I4" s="92" t="s">
        <v>386</v>
      </c>
    </row>
    <row r="5" spans="2:9" ht="20.25" customHeight="1" x14ac:dyDescent="0.3">
      <c r="B5" s="74"/>
      <c r="C5" s="81"/>
      <c r="D5" s="82"/>
      <c r="E5" s="82"/>
      <c r="F5" s="82"/>
      <c r="G5" s="83"/>
      <c r="H5" s="91" t="s">
        <v>383</v>
      </c>
      <c r="I5" s="90" t="s">
        <v>387</v>
      </c>
    </row>
    <row r="6" spans="2:9" ht="20.25" customHeight="1" x14ac:dyDescent="0.3">
      <c r="B6" s="88"/>
      <c r="C6" s="89"/>
      <c r="D6" s="89"/>
      <c r="E6" s="89"/>
      <c r="F6" s="89"/>
      <c r="G6" s="89"/>
      <c r="H6" s="84" t="s">
        <v>9</v>
      </c>
      <c r="I6" s="84"/>
    </row>
    <row r="7" spans="2:9" ht="20.25" customHeight="1" x14ac:dyDescent="0.3">
      <c r="B7" s="88"/>
      <c r="C7" s="89"/>
      <c r="D7" s="89"/>
      <c r="E7" s="89"/>
      <c r="F7" s="89"/>
      <c r="G7" s="89"/>
      <c r="H7" s="5" t="s">
        <v>0</v>
      </c>
      <c r="I7" s="6" t="s">
        <v>10</v>
      </c>
    </row>
    <row r="8" spans="2:9" ht="20.25" customHeight="1" x14ac:dyDescent="0.3">
      <c r="B8" s="88"/>
      <c r="C8" s="89"/>
      <c r="D8" s="89"/>
      <c r="E8" s="89"/>
      <c r="F8" s="89"/>
      <c r="G8" s="89"/>
      <c r="H8" s="8" t="s">
        <v>1</v>
      </c>
      <c r="I8" s="9" t="s">
        <v>11</v>
      </c>
    </row>
    <row r="9" spans="2:9" ht="20.25" customHeight="1" x14ac:dyDescent="0.3">
      <c r="E9" s="13"/>
      <c r="H9" s="10" t="s">
        <v>2</v>
      </c>
      <c r="I9" s="11" t="s">
        <v>12</v>
      </c>
    </row>
    <row r="10" spans="2:9" ht="20.25" customHeight="1" x14ac:dyDescent="0.3"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  <c r="G10" s="12" t="s">
        <v>18</v>
      </c>
      <c r="H10" s="12" t="s">
        <v>19</v>
      </c>
      <c r="I10" s="12" t="s">
        <v>20</v>
      </c>
    </row>
    <row r="11" spans="2:9" ht="20.25" customHeight="1" x14ac:dyDescent="0.3">
      <c r="B11" s="14" t="s">
        <v>4</v>
      </c>
      <c r="C11" s="14" t="s">
        <v>332</v>
      </c>
      <c r="D11" s="15" t="s">
        <v>22</v>
      </c>
      <c r="E11" s="15">
        <v>1</v>
      </c>
      <c r="F11" s="15" t="s">
        <v>22</v>
      </c>
      <c r="G11" s="15">
        <v>1</v>
      </c>
      <c r="H11" s="15">
        <f>E11*G11</f>
        <v>1</v>
      </c>
      <c r="I11" s="6" t="s">
        <v>10</v>
      </c>
    </row>
    <row r="12" spans="2:9" ht="20.25" customHeight="1" x14ac:dyDescent="0.3">
      <c r="B12" s="14" t="s">
        <v>333</v>
      </c>
      <c r="C12" s="14" t="s">
        <v>332</v>
      </c>
      <c r="D12" s="15" t="s">
        <v>22</v>
      </c>
      <c r="E12" s="15">
        <v>1</v>
      </c>
      <c r="F12" s="15" t="s">
        <v>22</v>
      </c>
      <c r="G12" s="15">
        <v>1</v>
      </c>
      <c r="H12" s="15">
        <f t="shared" ref="H12:H25" si="0">E12*G12</f>
        <v>1</v>
      </c>
      <c r="I12" s="6" t="s">
        <v>10</v>
      </c>
    </row>
    <row r="13" spans="2:9" ht="20.25" customHeight="1" x14ac:dyDescent="0.3">
      <c r="B13" s="14" t="s">
        <v>334</v>
      </c>
      <c r="C13" s="14" t="s">
        <v>332</v>
      </c>
      <c r="D13" s="15" t="s">
        <v>22</v>
      </c>
      <c r="E13" s="15">
        <v>1</v>
      </c>
      <c r="F13" s="15" t="s">
        <v>22</v>
      </c>
      <c r="G13" s="15">
        <v>1</v>
      </c>
      <c r="H13" s="15">
        <f t="shared" si="0"/>
        <v>1</v>
      </c>
      <c r="I13" s="6" t="s">
        <v>10</v>
      </c>
    </row>
    <row r="14" spans="2:9" ht="20.25" customHeight="1" x14ac:dyDescent="0.3">
      <c r="B14" s="14" t="s">
        <v>335</v>
      </c>
      <c r="C14" s="14" t="s">
        <v>332</v>
      </c>
      <c r="D14" s="15" t="s">
        <v>22</v>
      </c>
      <c r="E14" s="15">
        <v>1</v>
      </c>
      <c r="F14" s="15" t="s">
        <v>22</v>
      </c>
      <c r="G14" s="15">
        <v>1</v>
      </c>
      <c r="H14" s="15">
        <f t="shared" si="0"/>
        <v>1</v>
      </c>
      <c r="I14" s="6" t="s">
        <v>10</v>
      </c>
    </row>
    <row r="15" spans="2:9" ht="20.25" customHeight="1" x14ac:dyDescent="0.3">
      <c r="B15" s="14" t="s">
        <v>336</v>
      </c>
      <c r="C15" s="14" t="s">
        <v>332</v>
      </c>
      <c r="D15" s="15" t="s">
        <v>22</v>
      </c>
      <c r="E15" s="15">
        <v>1</v>
      </c>
      <c r="F15" s="15" t="s">
        <v>22</v>
      </c>
      <c r="G15" s="15">
        <v>1</v>
      </c>
      <c r="H15" s="15">
        <f t="shared" si="0"/>
        <v>1</v>
      </c>
      <c r="I15" s="6" t="s">
        <v>10</v>
      </c>
    </row>
    <row r="16" spans="2:9" ht="20.25" customHeight="1" x14ac:dyDescent="0.3">
      <c r="B16" s="14" t="s">
        <v>337</v>
      </c>
      <c r="C16" s="14" t="s">
        <v>332</v>
      </c>
      <c r="D16" s="15" t="s">
        <v>22</v>
      </c>
      <c r="E16" s="15">
        <v>1</v>
      </c>
      <c r="F16" s="15" t="s">
        <v>22</v>
      </c>
      <c r="G16" s="15">
        <v>1</v>
      </c>
      <c r="H16" s="15">
        <f t="shared" si="0"/>
        <v>1</v>
      </c>
      <c r="I16" s="6" t="s">
        <v>10</v>
      </c>
    </row>
    <row r="17" spans="2:9" ht="20.25" customHeight="1" x14ac:dyDescent="0.3">
      <c r="B17" s="14" t="s">
        <v>338</v>
      </c>
      <c r="C17" s="14" t="s">
        <v>332</v>
      </c>
      <c r="D17" s="15" t="s">
        <v>22</v>
      </c>
      <c r="E17" s="15">
        <v>1</v>
      </c>
      <c r="F17" s="15" t="s">
        <v>22</v>
      </c>
      <c r="G17" s="15">
        <v>1</v>
      </c>
      <c r="H17" s="15">
        <f t="shared" si="0"/>
        <v>1</v>
      </c>
      <c r="I17" s="6" t="s">
        <v>10</v>
      </c>
    </row>
    <row r="18" spans="2:9" ht="20.25" customHeight="1" x14ac:dyDescent="0.3">
      <c r="B18" s="14" t="s">
        <v>339</v>
      </c>
      <c r="C18" s="14" t="s">
        <v>332</v>
      </c>
      <c r="D18" s="15" t="s">
        <v>22</v>
      </c>
      <c r="E18" s="15">
        <v>1</v>
      </c>
      <c r="F18" s="15" t="s">
        <v>22</v>
      </c>
      <c r="G18" s="15">
        <v>1</v>
      </c>
      <c r="H18" s="15">
        <f t="shared" si="0"/>
        <v>1</v>
      </c>
      <c r="I18" s="6" t="s">
        <v>10</v>
      </c>
    </row>
    <row r="19" spans="2:9" ht="20.25" customHeight="1" x14ac:dyDescent="0.3">
      <c r="B19" s="14" t="s">
        <v>340</v>
      </c>
      <c r="C19" s="14" t="s">
        <v>332</v>
      </c>
      <c r="D19" s="15" t="s">
        <v>22</v>
      </c>
      <c r="E19" s="15">
        <v>1</v>
      </c>
      <c r="F19" s="15" t="s">
        <v>22</v>
      </c>
      <c r="G19" s="15">
        <v>1</v>
      </c>
      <c r="H19" s="15">
        <f t="shared" si="0"/>
        <v>1</v>
      </c>
      <c r="I19" s="6" t="s">
        <v>10</v>
      </c>
    </row>
    <row r="20" spans="2:9" ht="20.25" customHeight="1" x14ac:dyDescent="0.3">
      <c r="B20" s="14" t="s">
        <v>341</v>
      </c>
      <c r="C20" s="14" t="s">
        <v>332</v>
      </c>
      <c r="D20" s="15" t="s">
        <v>22</v>
      </c>
      <c r="E20" s="15">
        <v>1</v>
      </c>
      <c r="F20" s="15" t="s">
        <v>22</v>
      </c>
      <c r="G20" s="15">
        <v>1</v>
      </c>
      <c r="H20" s="15">
        <f t="shared" si="0"/>
        <v>1</v>
      </c>
      <c r="I20" s="6" t="s">
        <v>10</v>
      </c>
    </row>
    <row r="21" spans="2:9" ht="20.25" customHeight="1" x14ac:dyDescent="0.3">
      <c r="B21" s="14" t="s">
        <v>342</v>
      </c>
      <c r="C21" s="14" t="s">
        <v>332</v>
      </c>
      <c r="D21" s="15" t="s">
        <v>22</v>
      </c>
      <c r="E21" s="15">
        <v>1</v>
      </c>
      <c r="F21" s="15" t="s">
        <v>22</v>
      </c>
      <c r="G21" s="15">
        <v>1</v>
      </c>
      <c r="H21" s="15">
        <f t="shared" si="0"/>
        <v>1</v>
      </c>
      <c r="I21" s="6" t="s">
        <v>10</v>
      </c>
    </row>
    <row r="22" spans="2:9" ht="20.25" customHeight="1" x14ac:dyDescent="0.3">
      <c r="B22" s="14" t="s">
        <v>343</v>
      </c>
      <c r="C22" s="14" t="s">
        <v>332</v>
      </c>
      <c r="D22" s="15" t="s">
        <v>22</v>
      </c>
      <c r="E22" s="15">
        <v>1</v>
      </c>
      <c r="F22" s="15" t="s">
        <v>22</v>
      </c>
      <c r="G22" s="15">
        <v>1</v>
      </c>
      <c r="H22" s="15">
        <f t="shared" si="0"/>
        <v>1</v>
      </c>
      <c r="I22" s="6" t="s">
        <v>10</v>
      </c>
    </row>
    <row r="23" spans="2:9" ht="20.25" customHeight="1" x14ac:dyDescent="0.3">
      <c r="B23" s="14" t="s">
        <v>344</v>
      </c>
      <c r="C23" s="14" t="s">
        <v>348</v>
      </c>
      <c r="D23" s="15" t="s">
        <v>22</v>
      </c>
      <c r="E23" s="15">
        <v>1</v>
      </c>
      <c r="F23" s="15" t="s">
        <v>22</v>
      </c>
      <c r="G23" s="15">
        <v>1</v>
      </c>
      <c r="H23" s="15">
        <f t="shared" si="0"/>
        <v>1</v>
      </c>
      <c r="I23" s="6" t="s">
        <v>10</v>
      </c>
    </row>
    <row r="24" spans="2:9" ht="20.25" customHeight="1" x14ac:dyDescent="0.3">
      <c r="B24" s="14" t="s">
        <v>345</v>
      </c>
      <c r="C24" s="14" t="s">
        <v>349</v>
      </c>
      <c r="D24" s="15" t="s">
        <v>22</v>
      </c>
      <c r="E24" s="15">
        <v>1</v>
      </c>
      <c r="F24" s="15" t="s">
        <v>22</v>
      </c>
      <c r="G24" s="15">
        <v>1</v>
      </c>
      <c r="H24" s="15">
        <f t="shared" si="0"/>
        <v>1</v>
      </c>
      <c r="I24" s="6" t="s">
        <v>10</v>
      </c>
    </row>
    <row r="25" spans="2:9" ht="20.25" customHeight="1" x14ac:dyDescent="0.3">
      <c r="B25" s="14" t="s">
        <v>346</v>
      </c>
      <c r="C25" s="14" t="s">
        <v>347</v>
      </c>
      <c r="D25" s="15" t="s">
        <v>22</v>
      </c>
      <c r="E25" s="15">
        <v>1</v>
      </c>
      <c r="F25" s="15" t="s">
        <v>22</v>
      </c>
      <c r="G25" s="15">
        <v>1</v>
      </c>
      <c r="H25" s="15">
        <f t="shared" si="0"/>
        <v>1</v>
      </c>
      <c r="I25" s="6" t="s">
        <v>10</v>
      </c>
    </row>
    <row r="26" spans="2:9" ht="20.25" customHeight="1" x14ac:dyDescent="0.3">
      <c r="B26" s="14" t="s">
        <v>5</v>
      </c>
      <c r="C26" s="14" t="s">
        <v>21</v>
      </c>
      <c r="D26" s="15" t="s">
        <v>22</v>
      </c>
      <c r="E26" s="15">
        <v>1</v>
      </c>
      <c r="F26" s="15" t="s">
        <v>22</v>
      </c>
      <c r="G26" s="15">
        <v>1</v>
      </c>
      <c r="H26" s="15">
        <f t="shared" ref="H26:H41" si="1">E26*G26</f>
        <v>1</v>
      </c>
      <c r="I26" s="6" t="s">
        <v>10</v>
      </c>
    </row>
    <row r="27" spans="2:9" ht="20.25" customHeight="1" x14ac:dyDescent="0.3">
      <c r="B27" s="14" t="s">
        <v>6</v>
      </c>
      <c r="C27" s="14" t="s">
        <v>21</v>
      </c>
      <c r="D27" s="15" t="s">
        <v>22</v>
      </c>
      <c r="E27" s="15">
        <v>1</v>
      </c>
      <c r="F27" s="15" t="s">
        <v>22</v>
      </c>
      <c r="G27" s="15">
        <v>1</v>
      </c>
      <c r="H27" s="15">
        <f t="shared" si="1"/>
        <v>1</v>
      </c>
      <c r="I27" s="6" t="s">
        <v>10</v>
      </c>
    </row>
    <row r="28" spans="2:9" ht="20.25" customHeight="1" x14ac:dyDescent="0.3">
      <c r="B28" s="14" t="s">
        <v>7</v>
      </c>
      <c r="C28" s="14" t="s">
        <v>21</v>
      </c>
      <c r="D28" s="15" t="s">
        <v>22</v>
      </c>
      <c r="E28" s="15">
        <v>1</v>
      </c>
      <c r="F28" s="15" t="s">
        <v>22</v>
      </c>
      <c r="G28" s="15">
        <v>1</v>
      </c>
      <c r="H28" s="15">
        <f t="shared" si="1"/>
        <v>1</v>
      </c>
      <c r="I28" s="6" t="s">
        <v>10</v>
      </c>
    </row>
    <row r="29" spans="2:9" ht="20.25" customHeight="1" x14ac:dyDescent="0.3">
      <c r="B29" s="14" t="s">
        <v>321</v>
      </c>
      <c r="C29" s="14" t="s">
        <v>21</v>
      </c>
      <c r="D29" s="15" t="s">
        <v>22</v>
      </c>
      <c r="E29" s="15">
        <v>1</v>
      </c>
      <c r="F29" s="15" t="s">
        <v>22</v>
      </c>
      <c r="G29" s="15">
        <v>1</v>
      </c>
      <c r="H29" s="15">
        <f t="shared" si="1"/>
        <v>1</v>
      </c>
      <c r="I29" s="6" t="s">
        <v>10</v>
      </c>
    </row>
    <row r="30" spans="2:9" ht="20.25" customHeight="1" x14ac:dyDescent="0.3">
      <c r="B30" s="14" t="s">
        <v>322</v>
      </c>
      <c r="C30" s="14" t="s">
        <v>21</v>
      </c>
      <c r="D30" s="15" t="s">
        <v>22</v>
      </c>
      <c r="E30" s="15">
        <v>1</v>
      </c>
      <c r="F30" s="15" t="s">
        <v>22</v>
      </c>
      <c r="G30" s="15">
        <v>1</v>
      </c>
      <c r="H30" s="15">
        <f t="shared" si="1"/>
        <v>1</v>
      </c>
      <c r="I30" s="6" t="s">
        <v>10</v>
      </c>
    </row>
    <row r="31" spans="2:9" ht="20.25" customHeight="1" x14ac:dyDescent="0.3">
      <c r="B31" s="14" t="s">
        <v>323</v>
      </c>
      <c r="C31" s="14" t="s">
        <v>21</v>
      </c>
      <c r="D31" s="15" t="s">
        <v>22</v>
      </c>
      <c r="E31" s="15">
        <v>1</v>
      </c>
      <c r="F31" s="15" t="s">
        <v>22</v>
      </c>
      <c r="G31" s="15">
        <v>1</v>
      </c>
      <c r="H31" s="15">
        <f t="shared" si="1"/>
        <v>1</v>
      </c>
      <c r="I31" s="6" t="s">
        <v>10</v>
      </c>
    </row>
    <row r="32" spans="2:9" ht="20.25" customHeight="1" x14ac:dyDescent="0.3">
      <c r="B32" s="14" t="s">
        <v>324</v>
      </c>
      <c r="C32" s="14" t="s">
        <v>21</v>
      </c>
      <c r="D32" s="15" t="s">
        <v>22</v>
      </c>
      <c r="E32" s="15">
        <v>1</v>
      </c>
      <c r="F32" s="15" t="s">
        <v>22</v>
      </c>
      <c r="G32" s="15">
        <v>1</v>
      </c>
      <c r="H32" s="15">
        <f t="shared" si="1"/>
        <v>1</v>
      </c>
      <c r="I32" s="6" t="s">
        <v>10</v>
      </c>
    </row>
    <row r="33" spans="2:9" ht="20.25" customHeight="1" x14ac:dyDescent="0.3">
      <c r="B33" s="14" t="s">
        <v>325</v>
      </c>
      <c r="C33" s="14" t="s">
        <v>21</v>
      </c>
      <c r="D33" s="15" t="s">
        <v>22</v>
      </c>
      <c r="E33" s="15">
        <v>1</v>
      </c>
      <c r="F33" s="15" t="s">
        <v>22</v>
      </c>
      <c r="G33" s="15">
        <v>1</v>
      </c>
      <c r="H33" s="15">
        <f t="shared" si="1"/>
        <v>1</v>
      </c>
      <c r="I33" s="6" t="s">
        <v>10</v>
      </c>
    </row>
    <row r="34" spans="2:9" ht="20.25" customHeight="1" x14ac:dyDescent="0.3">
      <c r="B34" s="14" t="s">
        <v>326</v>
      </c>
      <c r="C34" s="14" t="s">
        <v>21</v>
      </c>
      <c r="D34" s="15" t="s">
        <v>22</v>
      </c>
      <c r="E34" s="15">
        <v>1</v>
      </c>
      <c r="F34" s="15" t="s">
        <v>22</v>
      </c>
      <c r="G34" s="15">
        <v>1</v>
      </c>
      <c r="H34" s="15">
        <f t="shared" si="1"/>
        <v>1</v>
      </c>
      <c r="I34" s="6" t="s">
        <v>10</v>
      </c>
    </row>
    <row r="35" spans="2:9" ht="20.25" customHeight="1" x14ac:dyDescent="0.3">
      <c r="B35" s="14" t="s">
        <v>327</v>
      </c>
      <c r="C35" s="14" t="s">
        <v>21</v>
      </c>
      <c r="D35" s="15" t="s">
        <v>22</v>
      </c>
      <c r="E35" s="15">
        <v>1</v>
      </c>
      <c r="F35" s="15" t="s">
        <v>22</v>
      </c>
      <c r="G35" s="15">
        <v>1</v>
      </c>
      <c r="H35" s="15">
        <f t="shared" si="1"/>
        <v>1</v>
      </c>
      <c r="I35" s="6" t="s">
        <v>10</v>
      </c>
    </row>
    <row r="36" spans="2:9" ht="20.25" customHeight="1" x14ac:dyDescent="0.3">
      <c r="B36" s="14" t="s">
        <v>328</v>
      </c>
      <c r="C36" s="14" t="s">
        <v>21</v>
      </c>
      <c r="D36" s="15" t="s">
        <v>22</v>
      </c>
      <c r="E36" s="15">
        <v>1</v>
      </c>
      <c r="F36" s="15" t="s">
        <v>22</v>
      </c>
      <c r="G36" s="15">
        <v>1</v>
      </c>
      <c r="H36" s="15">
        <f t="shared" si="1"/>
        <v>1</v>
      </c>
      <c r="I36" s="6" t="s">
        <v>10</v>
      </c>
    </row>
    <row r="37" spans="2:9" ht="20.25" customHeight="1" x14ac:dyDescent="0.3">
      <c r="B37" s="14" t="s">
        <v>329</v>
      </c>
      <c r="C37" s="14" t="s">
        <v>21</v>
      </c>
      <c r="D37" s="15" t="s">
        <v>22</v>
      </c>
      <c r="E37" s="15">
        <v>1</v>
      </c>
      <c r="F37" s="15" t="s">
        <v>22</v>
      </c>
      <c r="G37" s="15">
        <v>1</v>
      </c>
      <c r="H37" s="15">
        <f t="shared" si="1"/>
        <v>1</v>
      </c>
      <c r="I37" s="6" t="s">
        <v>10</v>
      </c>
    </row>
    <row r="38" spans="2:9" ht="20.25" customHeight="1" x14ac:dyDescent="0.3">
      <c r="B38" s="14" t="s">
        <v>330</v>
      </c>
      <c r="C38" s="14" t="s">
        <v>21</v>
      </c>
      <c r="D38" s="15" t="s">
        <v>22</v>
      </c>
      <c r="E38" s="15">
        <v>1</v>
      </c>
      <c r="F38" s="15" t="s">
        <v>22</v>
      </c>
      <c r="G38" s="15">
        <v>1</v>
      </c>
      <c r="H38" s="15">
        <f t="shared" si="1"/>
        <v>1</v>
      </c>
      <c r="I38" s="6" t="s">
        <v>10</v>
      </c>
    </row>
    <row r="39" spans="2:9" ht="20.25" customHeight="1" x14ac:dyDescent="0.3">
      <c r="B39" s="14" t="s">
        <v>331</v>
      </c>
      <c r="C39" s="14" t="s">
        <v>21</v>
      </c>
      <c r="D39" s="15" t="s">
        <v>22</v>
      </c>
      <c r="E39" s="15">
        <v>1</v>
      </c>
      <c r="F39" s="15" t="s">
        <v>22</v>
      </c>
      <c r="G39" s="15">
        <v>1</v>
      </c>
      <c r="H39" s="15">
        <f t="shared" si="1"/>
        <v>1</v>
      </c>
      <c r="I39" s="6" t="s">
        <v>10</v>
      </c>
    </row>
    <row r="40" spans="2:9" ht="20.25" customHeight="1" x14ac:dyDescent="0.3">
      <c r="B40" s="16" t="s">
        <v>24</v>
      </c>
      <c r="C40" s="16" t="s">
        <v>27</v>
      </c>
      <c r="D40" s="17" t="s">
        <v>26</v>
      </c>
      <c r="E40" s="17">
        <v>4</v>
      </c>
      <c r="F40" s="17" t="s">
        <v>26</v>
      </c>
      <c r="G40" s="17">
        <v>1</v>
      </c>
      <c r="H40" s="17">
        <v>4</v>
      </c>
      <c r="I40" s="16" t="s">
        <v>11</v>
      </c>
    </row>
    <row r="41" spans="2:9" ht="20.25" customHeight="1" x14ac:dyDescent="0.3">
      <c r="B41" s="14" t="s">
        <v>25</v>
      </c>
      <c r="C41" s="14" t="s">
        <v>28</v>
      </c>
      <c r="D41" s="15" t="s">
        <v>22</v>
      </c>
      <c r="E41" s="15">
        <v>1</v>
      </c>
      <c r="F41" s="15" t="s">
        <v>29</v>
      </c>
      <c r="G41" s="15">
        <v>3</v>
      </c>
      <c r="H41" s="15">
        <f t="shared" si="1"/>
        <v>3</v>
      </c>
      <c r="I41" s="6" t="s">
        <v>10</v>
      </c>
    </row>
  </sheetData>
  <mergeCells count="3">
    <mergeCell ref="B2:B5"/>
    <mergeCell ref="C2:G5"/>
    <mergeCell ref="H6:I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EE53-22AF-40C8-AA93-73E9FE0FC249}">
  <dimension ref="A1:N38"/>
  <sheetViews>
    <sheetView showGridLines="0" workbookViewId="0">
      <selection activeCell="J16" sqref="J16"/>
    </sheetView>
  </sheetViews>
  <sheetFormatPr defaultColWidth="9.109375" defaultRowHeight="24.75" customHeight="1" x14ac:dyDescent="0.3"/>
  <cols>
    <col min="1" max="1" width="3.5546875" style="3" customWidth="1"/>
    <col min="2" max="2" width="13.88671875" style="3" customWidth="1"/>
    <col min="3" max="3" width="20.6640625" style="3" customWidth="1"/>
    <col min="4" max="5" width="13.33203125" style="3" customWidth="1"/>
    <col min="6" max="6" width="3.5546875" style="3" customWidth="1"/>
    <col min="7" max="10" width="13.33203125" style="3" customWidth="1"/>
    <col min="11" max="11" width="17.33203125" style="3" customWidth="1"/>
    <col min="12" max="12" width="17.44140625" style="3" customWidth="1"/>
    <col min="13" max="13" width="13.33203125" style="3" customWidth="1"/>
    <col min="14" max="14" width="9.109375" style="3"/>
    <col min="15" max="15" width="26.44140625" style="3" customWidth="1"/>
    <col min="16" max="19" width="18.44140625" style="3" customWidth="1"/>
    <col min="20" max="20" width="12.5546875" style="3" customWidth="1"/>
    <col min="21" max="16384" width="9.109375" style="3"/>
  </cols>
  <sheetData>
    <row r="1" spans="1:14" ht="14.25" customHeight="1" x14ac:dyDescent="0.3"/>
    <row r="2" spans="1:14" ht="24.75" customHeight="1" x14ac:dyDescent="0.3">
      <c r="B2" s="84" t="s">
        <v>9</v>
      </c>
      <c r="C2" s="84"/>
    </row>
    <row r="3" spans="1:14" ht="24.75" customHeight="1" x14ac:dyDescent="0.3">
      <c r="B3" s="5" t="s">
        <v>0</v>
      </c>
      <c r="C3" s="6" t="s">
        <v>10</v>
      </c>
    </row>
    <row r="4" spans="1:14" ht="24.75" customHeight="1" x14ac:dyDescent="0.3">
      <c r="B4" s="8" t="s">
        <v>1</v>
      </c>
      <c r="C4" s="9" t="s">
        <v>11</v>
      </c>
    </row>
    <row r="5" spans="1:14" ht="24.75" customHeight="1" x14ac:dyDescent="0.3">
      <c r="B5" s="10" t="s">
        <v>2</v>
      </c>
      <c r="C5" s="11" t="s">
        <v>12</v>
      </c>
    </row>
    <row r="6" spans="1:14" ht="11.25" customHeight="1" x14ac:dyDescent="0.3"/>
    <row r="7" spans="1:14" s="1" customFormat="1" ht="24.75" customHeight="1" x14ac:dyDescent="0.3">
      <c r="B7" s="43" t="s">
        <v>0</v>
      </c>
      <c r="C7" s="43" t="s">
        <v>10</v>
      </c>
      <c r="D7" s="41" t="s">
        <v>23</v>
      </c>
      <c r="E7" s="41" t="s">
        <v>34</v>
      </c>
      <c r="G7" s="42" t="s">
        <v>1</v>
      </c>
      <c r="H7" s="41" t="s">
        <v>11</v>
      </c>
      <c r="I7" s="41" t="s">
        <v>23</v>
      </c>
      <c r="J7" s="41" t="s">
        <v>34</v>
      </c>
      <c r="K7" s="41" t="s">
        <v>30</v>
      </c>
      <c r="L7" s="41" t="s">
        <v>31</v>
      </c>
    </row>
    <row r="8" spans="1:14" ht="24.75" customHeight="1" x14ac:dyDescent="0.3">
      <c r="A8" s="7"/>
      <c r="B8" s="14" t="s">
        <v>4</v>
      </c>
      <c r="C8" s="19">
        <v>1</v>
      </c>
      <c r="D8" s="2" t="s">
        <v>35</v>
      </c>
      <c r="E8" s="2" t="s">
        <v>35</v>
      </c>
      <c r="G8" s="4">
        <v>4</v>
      </c>
      <c r="H8" s="4" t="s">
        <v>24</v>
      </c>
      <c r="I8" s="4" t="s">
        <v>35</v>
      </c>
      <c r="J8" s="4" t="s">
        <v>35</v>
      </c>
      <c r="K8" s="4" t="s">
        <v>36</v>
      </c>
      <c r="L8" s="4" t="s">
        <v>36</v>
      </c>
    </row>
    <row r="9" spans="1:14" ht="24.75" customHeight="1" x14ac:dyDescent="0.3">
      <c r="A9" s="7"/>
      <c r="B9" s="14" t="s">
        <v>333</v>
      </c>
      <c r="C9" s="19">
        <v>1</v>
      </c>
      <c r="D9" s="2" t="s">
        <v>35</v>
      </c>
      <c r="E9" s="2" t="s">
        <v>35</v>
      </c>
    </row>
    <row r="10" spans="1:14" ht="24.75" customHeight="1" x14ac:dyDescent="0.3">
      <c r="A10" s="7"/>
      <c r="B10" s="14" t="s">
        <v>334</v>
      </c>
      <c r="C10" s="19">
        <v>1</v>
      </c>
      <c r="D10" s="2" t="s">
        <v>35</v>
      </c>
      <c r="E10" s="2" t="s">
        <v>35</v>
      </c>
      <c r="G10" s="41" t="s">
        <v>2</v>
      </c>
      <c r="H10" s="41" t="s">
        <v>12</v>
      </c>
      <c r="I10" s="41" t="s">
        <v>23</v>
      </c>
      <c r="J10" s="41" t="s">
        <v>3</v>
      </c>
      <c r="K10" s="41" t="s">
        <v>30</v>
      </c>
      <c r="L10" s="41" t="s">
        <v>31</v>
      </c>
      <c r="M10" s="41" t="s">
        <v>32</v>
      </c>
      <c r="N10" s="41" t="s">
        <v>33</v>
      </c>
    </row>
    <row r="11" spans="1:14" ht="24.75" customHeight="1" x14ac:dyDescent="0.3">
      <c r="A11" s="7"/>
      <c r="B11" s="14" t="s">
        <v>335</v>
      </c>
      <c r="C11" s="19">
        <v>1</v>
      </c>
      <c r="D11" s="2" t="s">
        <v>35</v>
      </c>
      <c r="E11" s="2" t="s">
        <v>35</v>
      </c>
      <c r="G11" s="10"/>
      <c r="H11" s="10"/>
      <c r="I11" s="10"/>
      <c r="J11" s="10"/>
      <c r="K11" s="10"/>
      <c r="L11" s="10"/>
      <c r="M11" s="10"/>
      <c r="N11" s="10"/>
    </row>
    <row r="12" spans="1:14" ht="24.75" customHeight="1" x14ac:dyDescent="0.3">
      <c r="B12" s="14" t="s">
        <v>336</v>
      </c>
      <c r="C12" s="19">
        <v>1</v>
      </c>
      <c r="D12" s="2" t="s">
        <v>35</v>
      </c>
      <c r="E12" s="2" t="s">
        <v>35</v>
      </c>
    </row>
    <row r="13" spans="1:14" ht="24.75" customHeight="1" x14ac:dyDescent="0.3">
      <c r="B13" s="14" t="s">
        <v>337</v>
      </c>
      <c r="C13" s="19">
        <v>1</v>
      </c>
      <c r="D13" s="2" t="s">
        <v>35</v>
      </c>
      <c r="E13" s="2" t="s">
        <v>35</v>
      </c>
    </row>
    <row r="14" spans="1:14" ht="24.75" customHeight="1" x14ac:dyDescent="0.3">
      <c r="B14" s="14" t="s">
        <v>338</v>
      </c>
      <c r="C14" s="19">
        <v>1</v>
      </c>
      <c r="D14" s="2" t="s">
        <v>35</v>
      </c>
      <c r="E14" s="2" t="s">
        <v>35</v>
      </c>
    </row>
    <row r="15" spans="1:14" ht="24.75" customHeight="1" x14ac:dyDescent="0.3">
      <c r="B15" s="14" t="s">
        <v>339</v>
      </c>
      <c r="C15" s="19">
        <v>1</v>
      </c>
      <c r="D15" s="2" t="s">
        <v>35</v>
      </c>
      <c r="E15" s="2" t="s">
        <v>35</v>
      </c>
    </row>
    <row r="16" spans="1:14" ht="24.75" customHeight="1" x14ac:dyDescent="0.3">
      <c r="B16" s="14" t="s">
        <v>340</v>
      </c>
      <c r="C16" s="19">
        <v>1</v>
      </c>
      <c r="D16" s="2" t="s">
        <v>35</v>
      </c>
      <c r="E16" s="2" t="s">
        <v>35</v>
      </c>
    </row>
    <row r="17" spans="2:5" ht="24.75" customHeight="1" x14ac:dyDescent="0.3">
      <c r="B17" s="14" t="s">
        <v>341</v>
      </c>
      <c r="C17" s="19">
        <v>1</v>
      </c>
      <c r="D17" s="2" t="s">
        <v>35</v>
      </c>
      <c r="E17" s="2" t="s">
        <v>35</v>
      </c>
    </row>
    <row r="18" spans="2:5" ht="24.75" customHeight="1" x14ac:dyDescent="0.3">
      <c r="B18" s="14" t="s">
        <v>342</v>
      </c>
      <c r="C18" s="19">
        <v>1</v>
      </c>
      <c r="D18" s="2" t="s">
        <v>35</v>
      </c>
      <c r="E18" s="2" t="s">
        <v>35</v>
      </c>
    </row>
    <row r="19" spans="2:5" ht="24.75" customHeight="1" x14ac:dyDescent="0.3">
      <c r="B19" s="14" t="s">
        <v>343</v>
      </c>
      <c r="C19" s="19">
        <v>1</v>
      </c>
      <c r="D19" s="2" t="s">
        <v>35</v>
      </c>
      <c r="E19" s="2" t="s">
        <v>35</v>
      </c>
    </row>
    <row r="20" spans="2:5" ht="24.75" customHeight="1" x14ac:dyDescent="0.3">
      <c r="B20" s="14" t="s">
        <v>344</v>
      </c>
      <c r="C20" s="19">
        <v>1</v>
      </c>
      <c r="D20" s="2" t="s">
        <v>35</v>
      </c>
      <c r="E20" s="2" t="s">
        <v>35</v>
      </c>
    </row>
    <row r="21" spans="2:5" ht="24.75" customHeight="1" x14ac:dyDescent="0.3">
      <c r="B21" s="14" t="s">
        <v>345</v>
      </c>
      <c r="C21" s="19">
        <v>1</v>
      </c>
      <c r="D21" s="2" t="s">
        <v>35</v>
      </c>
      <c r="E21" s="2" t="s">
        <v>35</v>
      </c>
    </row>
    <row r="22" spans="2:5" ht="24.75" customHeight="1" x14ac:dyDescent="0.3">
      <c r="B22" s="14" t="s">
        <v>346</v>
      </c>
      <c r="C22" s="19">
        <v>1</v>
      </c>
      <c r="D22" s="2" t="s">
        <v>35</v>
      </c>
      <c r="E22" s="2" t="s">
        <v>35</v>
      </c>
    </row>
    <row r="23" spans="2:5" ht="24.75" customHeight="1" x14ac:dyDescent="0.3">
      <c r="B23" s="14" t="s">
        <v>5</v>
      </c>
      <c r="C23" s="19">
        <v>1</v>
      </c>
      <c r="D23" s="2" t="s">
        <v>35</v>
      </c>
      <c r="E23" s="2" t="s">
        <v>35</v>
      </c>
    </row>
    <row r="24" spans="2:5" ht="24.75" customHeight="1" x14ac:dyDescent="0.3">
      <c r="B24" s="14" t="s">
        <v>6</v>
      </c>
      <c r="C24" s="19">
        <v>1</v>
      </c>
      <c r="D24" s="2" t="s">
        <v>35</v>
      </c>
      <c r="E24" s="2" t="s">
        <v>35</v>
      </c>
    </row>
    <row r="25" spans="2:5" ht="24.75" customHeight="1" x14ac:dyDescent="0.3">
      <c r="B25" s="14" t="s">
        <v>321</v>
      </c>
      <c r="C25" s="19">
        <v>1</v>
      </c>
      <c r="D25" s="2" t="s">
        <v>35</v>
      </c>
      <c r="E25" s="2" t="s">
        <v>35</v>
      </c>
    </row>
    <row r="26" spans="2:5" ht="24.75" customHeight="1" x14ac:dyDescent="0.3">
      <c r="B26" s="14" t="s">
        <v>322</v>
      </c>
      <c r="C26" s="19">
        <v>1</v>
      </c>
      <c r="D26" s="2" t="s">
        <v>35</v>
      </c>
      <c r="E26" s="2" t="s">
        <v>35</v>
      </c>
    </row>
    <row r="27" spans="2:5" ht="24.75" customHeight="1" x14ac:dyDescent="0.3">
      <c r="B27" s="14" t="s">
        <v>323</v>
      </c>
      <c r="C27" s="19">
        <v>1</v>
      </c>
      <c r="D27" s="2" t="s">
        <v>35</v>
      </c>
      <c r="E27" s="2" t="s">
        <v>35</v>
      </c>
    </row>
    <row r="28" spans="2:5" ht="24.75" customHeight="1" x14ac:dyDescent="0.3">
      <c r="B28" s="14" t="s">
        <v>324</v>
      </c>
      <c r="C28" s="19">
        <v>1</v>
      </c>
      <c r="D28" s="2" t="s">
        <v>35</v>
      </c>
      <c r="E28" s="2" t="s">
        <v>35</v>
      </c>
    </row>
    <row r="29" spans="2:5" ht="24.75" customHeight="1" x14ac:dyDescent="0.3">
      <c r="B29" s="14" t="s">
        <v>325</v>
      </c>
      <c r="C29" s="19">
        <v>1</v>
      </c>
      <c r="D29" s="2" t="s">
        <v>35</v>
      </c>
      <c r="E29" s="2" t="s">
        <v>35</v>
      </c>
    </row>
    <row r="30" spans="2:5" ht="24.75" customHeight="1" x14ac:dyDescent="0.3">
      <c r="B30" s="14" t="s">
        <v>326</v>
      </c>
      <c r="C30" s="19">
        <v>1</v>
      </c>
      <c r="D30" s="2" t="s">
        <v>35</v>
      </c>
      <c r="E30" s="2" t="s">
        <v>35</v>
      </c>
    </row>
    <row r="31" spans="2:5" ht="24.75" customHeight="1" x14ac:dyDescent="0.3">
      <c r="B31" s="14" t="s">
        <v>327</v>
      </c>
      <c r="C31" s="19">
        <v>1</v>
      </c>
      <c r="D31" s="2" t="s">
        <v>35</v>
      </c>
      <c r="E31" s="2" t="s">
        <v>35</v>
      </c>
    </row>
    <row r="32" spans="2:5" ht="24.75" customHeight="1" x14ac:dyDescent="0.3">
      <c r="B32" s="14" t="s">
        <v>328</v>
      </c>
      <c r="C32" s="19">
        <v>1</v>
      </c>
      <c r="D32" s="2" t="s">
        <v>35</v>
      </c>
      <c r="E32" s="2" t="s">
        <v>35</v>
      </c>
    </row>
    <row r="33" spans="2:5" ht="24.75" customHeight="1" x14ac:dyDescent="0.3">
      <c r="B33" s="14" t="s">
        <v>329</v>
      </c>
      <c r="C33" s="19">
        <v>1</v>
      </c>
      <c r="D33" s="2" t="s">
        <v>35</v>
      </c>
      <c r="E33" s="2" t="s">
        <v>35</v>
      </c>
    </row>
    <row r="34" spans="2:5" ht="24.75" customHeight="1" x14ac:dyDescent="0.3">
      <c r="B34" s="14" t="s">
        <v>330</v>
      </c>
      <c r="C34" s="19">
        <v>1</v>
      </c>
      <c r="D34" s="2" t="s">
        <v>35</v>
      </c>
      <c r="E34" s="2" t="s">
        <v>35</v>
      </c>
    </row>
    <row r="35" spans="2:5" ht="24.75" customHeight="1" x14ac:dyDescent="0.3">
      <c r="B35" s="14" t="s">
        <v>331</v>
      </c>
      <c r="C35" s="19">
        <v>1</v>
      </c>
      <c r="D35" s="2" t="s">
        <v>35</v>
      </c>
      <c r="E35" s="2" t="s">
        <v>35</v>
      </c>
    </row>
    <row r="36" spans="2:5" ht="24.75" customHeight="1" x14ac:dyDescent="0.3">
      <c r="B36" s="14" t="s">
        <v>7</v>
      </c>
      <c r="C36" s="19">
        <v>1</v>
      </c>
      <c r="D36" s="2" t="s">
        <v>35</v>
      </c>
      <c r="E36" s="2" t="s">
        <v>35</v>
      </c>
    </row>
    <row r="37" spans="2:5" ht="24.75" customHeight="1" x14ac:dyDescent="0.3">
      <c r="B37" s="14" t="s">
        <v>25</v>
      </c>
      <c r="C37" s="19">
        <v>3</v>
      </c>
      <c r="D37" s="2" t="s">
        <v>35</v>
      </c>
      <c r="E37" s="2" t="s">
        <v>35</v>
      </c>
    </row>
    <row r="38" spans="2:5" ht="24.75" customHeight="1" x14ac:dyDescent="0.3">
      <c r="B38" s="16" t="s">
        <v>24</v>
      </c>
      <c r="C38" s="17">
        <v>4</v>
      </c>
      <c r="D38" s="16" t="s">
        <v>35</v>
      </c>
      <c r="E38" s="16" t="s">
        <v>35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E5FE-92E3-4675-ACA9-293F11633B7F}">
  <sheetPr>
    <pageSetUpPr fitToPage="1"/>
  </sheetPr>
  <dimension ref="A1:M39"/>
  <sheetViews>
    <sheetView zoomScale="80" zoomScaleNormal="80" workbookViewId="0">
      <pane ySplit="4" topLeftCell="A5" activePane="bottomLeft" state="frozen"/>
      <selection pane="bottomLeft" activeCell="L33" sqref="L33:M35"/>
    </sheetView>
  </sheetViews>
  <sheetFormatPr defaultRowHeight="14.4" x14ac:dyDescent="0.3"/>
  <cols>
    <col min="1" max="1" width="5.33203125" style="29" customWidth="1"/>
    <col min="2" max="2" width="31" style="29" customWidth="1"/>
    <col min="3" max="3" width="16.21875" style="21" customWidth="1"/>
    <col min="4" max="6" width="8.33203125" style="31" customWidth="1"/>
    <col min="7" max="7" width="9.21875" style="31" customWidth="1"/>
    <col min="8" max="8" width="28.109375" style="29" customWidth="1"/>
    <col min="9" max="9" width="25.33203125" style="29" customWidth="1"/>
    <col min="10" max="10" width="8.88671875" style="29"/>
    <col min="11" max="11" width="16.44140625" style="29" customWidth="1"/>
    <col min="12" max="12" width="11.77734375" style="31" customWidth="1"/>
    <col min="13" max="13" width="12" style="29" customWidth="1"/>
    <col min="14" max="16384" width="8.88671875" style="29"/>
  </cols>
  <sheetData>
    <row r="1" spans="1:13" s="20" customFormat="1" ht="22.2" customHeight="1" x14ac:dyDescent="0.3">
      <c r="A1" s="70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s="20" customFormat="1" ht="22.5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s="20" customFormat="1" ht="13.05" customHeight="1" x14ac:dyDescent="0.3">
      <c r="A3" s="21"/>
      <c r="C3" s="21"/>
      <c r="D3" s="21"/>
      <c r="E3" s="21"/>
      <c r="F3" s="21"/>
      <c r="G3" s="21"/>
      <c r="L3" s="21"/>
    </row>
    <row r="4" spans="1:13" s="23" customFormat="1" ht="34.5" customHeight="1" x14ac:dyDescent="0.3">
      <c r="A4" s="44" t="s">
        <v>37</v>
      </c>
      <c r="B4" s="44" t="s">
        <v>50</v>
      </c>
      <c r="C4" s="44" t="s">
        <v>39</v>
      </c>
      <c r="D4" s="44" t="s">
        <v>53</v>
      </c>
      <c r="E4" s="44" t="s">
        <v>51</v>
      </c>
      <c r="F4" s="44" t="s">
        <v>52</v>
      </c>
      <c r="G4" s="44" t="s">
        <v>54</v>
      </c>
      <c r="H4" s="44" t="s">
        <v>55</v>
      </c>
      <c r="I4" s="44" t="s">
        <v>56</v>
      </c>
      <c r="J4" s="44" t="s">
        <v>46</v>
      </c>
      <c r="K4" s="44" t="s">
        <v>57</v>
      </c>
      <c r="L4" s="44" t="s">
        <v>58</v>
      </c>
      <c r="M4" s="44" t="s">
        <v>350</v>
      </c>
    </row>
    <row r="5" spans="1:13" ht="111.6" customHeight="1" x14ac:dyDescent="0.3">
      <c r="A5" s="45">
        <v>1</v>
      </c>
      <c r="B5" s="46" t="s">
        <v>292</v>
      </c>
      <c r="C5" s="47" t="s">
        <v>60</v>
      </c>
      <c r="D5" s="45">
        <v>2</v>
      </c>
      <c r="E5" s="45">
        <v>4</v>
      </c>
      <c r="F5" s="48">
        <f>D5*E5</f>
        <v>8</v>
      </c>
      <c r="G5" s="49" t="s">
        <v>26</v>
      </c>
      <c r="H5" s="47" t="s">
        <v>240</v>
      </c>
      <c r="I5" s="47" t="s">
        <v>241</v>
      </c>
      <c r="J5" s="47"/>
      <c r="K5" s="50" t="s">
        <v>282</v>
      </c>
      <c r="L5" s="51">
        <v>46006</v>
      </c>
      <c r="M5" s="52" t="s">
        <v>351</v>
      </c>
    </row>
    <row r="6" spans="1:13" ht="72" x14ac:dyDescent="0.3">
      <c r="A6" s="45">
        <v>2</v>
      </c>
      <c r="B6" s="46" t="s">
        <v>293</v>
      </c>
      <c r="C6" s="47" t="s">
        <v>218</v>
      </c>
      <c r="D6" s="45">
        <v>2</v>
      </c>
      <c r="E6" s="45">
        <v>5</v>
      </c>
      <c r="F6" s="48">
        <f t="shared" ref="F6:F26" si="0">D6*E6</f>
        <v>10</v>
      </c>
      <c r="G6" s="49" t="s">
        <v>26</v>
      </c>
      <c r="H6" s="47" t="s">
        <v>242</v>
      </c>
      <c r="I6" s="47" t="s">
        <v>243</v>
      </c>
      <c r="J6" s="47"/>
      <c r="K6" s="47" t="s">
        <v>283</v>
      </c>
      <c r="L6" s="51">
        <v>45992</v>
      </c>
      <c r="M6" s="52" t="s">
        <v>351</v>
      </c>
    </row>
    <row r="7" spans="1:13" ht="86.4" x14ac:dyDescent="0.3">
      <c r="A7" s="45">
        <v>3</v>
      </c>
      <c r="B7" s="46" t="s">
        <v>294</v>
      </c>
      <c r="C7" s="47" t="s">
        <v>219</v>
      </c>
      <c r="D7" s="45">
        <v>1</v>
      </c>
      <c r="E7" s="45">
        <v>4</v>
      </c>
      <c r="F7" s="48">
        <f t="shared" si="0"/>
        <v>4</v>
      </c>
      <c r="G7" s="53" t="s">
        <v>22</v>
      </c>
      <c r="H7" s="47" t="s">
        <v>244</v>
      </c>
      <c r="I7" s="47" t="s">
        <v>245</v>
      </c>
      <c r="J7" s="47"/>
      <c r="K7" s="47" t="s">
        <v>62</v>
      </c>
      <c r="L7" s="51">
        <v>46011</v>
      </c>
      <c r="M7" s="52" t="s">
        <v>351</v>
      </c>
    </row>
    <row r="8" spans="1:13" ht="89.4" customHeight="1" x14ac:dyDescent="0.3">
      <c r="A8" s="45">
        <v>4</v>
      </c>
      <c r="B8" s="46" t="s">
        <v>295</v>
      </c>
      <c r="C8" s="47" t="s">
        <v>220</v>
      </c>
      <c r="D8" s="45">
        <v>1</v>
      </c>
      <c r="E8" s="45">
        <v>3</v>
      </c>
      <c r="F8" s="48">
        <f t="shared" si="0"/>
        <v>3</v>
      </c>
      <c r="G8" s="53" t="s">
        <v>22</v>
      </c>
      <c r="H8" s="47" t="s">
        <v>246</v>
      </c>
      <c r="I8" s="47" t="s">
        <v>247</v>
      </c>
      <c r="J8" s="47"/>
      <c r="K8" s="50" t="s">
        <v>284</v>
      </c>
      <c r="L8" s="51">
        <v>46006</v>
      </c>
      <c r="M8" s="52" t="s">
        <v>351</v>
      </c>
    </row>
    <row r="9" spans="1:13" ht="82.2" customHeight="1" x14ac:dyDescent="0.3">
      <c r="A9" s="45">
        <v>5</v>
      </c>
      <c r="B9" s="46" t="s">
        <v>296</v>
      </c>
      <c r="C9" s="47" t="s">
        <v>221</v>
      </c>
      <c r="D9" s="45">
        <v>3</v>
      </c>
      <c r="E9" s="45">
        <v>5</v>
      </c>
      <c r="F9" s="48">
        <f t="shared" si="0"/>
        <v>15</v>
      </c>
      <c r="G9" s="54" t="s">
        <v>29</v>
      </c>
      <c r="H9" s="47" t="s">
        <v>248</v>
      </c>
      <c r="I9" s="47" t="s">
        <v>320</v>
      </c>
      <c r="J9" s="47"/>
      <c r="K9" s="50" t="s">
        <v>64</v>
      </c>
      <c r="L9" s="51">
        <v>45992</v>
      </c>
      <c r="M9" s="52" t="s">
        <v>351</v>
      </c>
    </row>
    <row r="10" spans="1:13" ht="93.6" customHeight="1" x14ac:dyDescent="0.3">
      <c r="A10" s="45">
        <v>6</v>
      </c>
      <c r="B10" s="46" t="s">
        <v>297</v>
      </c>
      <c r="C10" s="47" t="s">
        <v>65</v>
      </c>
      <c r="D10" s="45">
        <v>2</v>
      </c>
      <c r="E10" s="45">
        <v>4</v>
      </c>
      <c r="F10" s="48">
        <f t="shared" si="0"/>
        <v>8</v>
      </c>
      <c r="G10" s="49" t="s">
        <v>26</v>
      </c>
      <c r="H10" s="47" t="s">
        <v>249</v>
      </c>
      <c r="I10" s="47" t="s">
        <v>250</v>
      </c>
      <c r="J10" s="47"/>
      <c r="K10" s="50" t="s">
        <v>66</v>
      </c>
      <c r="L10" s="55" t="s">
        <v>280</v>
      </c>
      <c r="M10" s="55" t="s">
        <v>280</v>
      </c>
    </row>
    <row r="11" spans="1:13" ht="62.4" customHeight="1" x14ac:dyDescent="0.3">
      <c r="A11" s="45">
        <v>7</v>
      </c>
      <c r="B11" s="46" t="s">
        <v>298</v>
      </c>
      <c r="C11" s="47" t="s">
        <v>222</v>
      </c>
      <c r="D11" s="45">
        <v>1</v>
      </c>
      <c r="E11" s="45">
        <v>5</v>
      </c>
      <c r="F11" s="48">
        <f t="shared" si="0"/>
        <v>5</v>
      </c>
      <c r="G11" s="53" t="s">
        <v>22</v>
      </c>
      <c r="H11" s="47" t="s">
        <v>318</v>
      </c>
      <c r="I11" s="47" t="s">
        <v>277</v>
      </c>
      <c r="J11" s="47"/>
      <c r="K11" s="50" t="s">
        <v>67</v>
      </c>
      <c r="L11" s="55" t="s">
        <v>280</v>
      </c>
      <c r="M11" s="55" t="s">
        <v>280</v>
      </c>
    </row>
    <row r="12" spans="1:13" ht="57.6" x14ac:dyDescent="0.3">
      <c r="A12" s="45">
        <v>8</v>
      </c>
      <c r="B12" s="46" t="s">
        <v>299</v>
      </c>
      <c r="C12" s="47" t="s">
        <v>223</v>
      </c>
      <c r="D12" s="45">
        <v>3</v>
      </c>
      <c r="E12" s="45">
        <v>4</v>
      </c>
      <c r="F12" s="48">
        <f t="shared" si="0"/>
        <v>12</v>
      </c>
      <c r="G12" s="54" t="s">
        <v>29</v>
      </c>
      <c r="H12" s="47" t="s">
        <v>251</v>
      </c>
      <c r="I12" s="47" t="s">
        <v>250</v>
      </c>
      <c r="J12" s="47"/>
      <c r="K12" s="50" t="s">
        <v>285</v>
      </c>
      <c r="L12" s="55" t="s">
        <v>280</v>
      </c>
      <c r="M12" s="55" t="s">
        <v>280</v>
      </c>
    </row>
    <row r="13" spans="1:13" ht="81.599999999999994" customHeight="1" x14ac:dyDescent="0.3">
      <c r="A13" s="45">
        <v>9</v>
      </c>
      <c r="B13" s="46" t="s">
        <v>300</v>
      </c>
      <c r="C13" s="47" t="s">
        <v>68</v>
      </c>
      <c r="D13" s="45">
        <v>2</v>
      </c>
      <c r="E13" s="45">
        <v>3</v>
      </c>
      <c r="F13" s="48">
        <f t="shared" si="0"/>
        <v>6</v>
      </c>
      <c r="G13" s="53" t="s">
        <v>22</v>
      </c>
      <c r="H13" s="47" t="s">
        <v>252</v>
      </c>
      <c r="I13" s="47" t="s">
        <v>253</v>
      </c>
      <c r="J13" s="47"/>
      <c r="K13" s="47" t="s">
        <v>69</v>
      </c>
      <c r="L13" s="51">
        <v>46001</v>
      </c>
      <c r="M13" s="52" t="s">
        <v>351</v>
      </c>
    </row>
    <row r="14" spans="1:13" ht="63" customHeight="1" x14ac:dyDescent="0.3">
      <c r="A14" s="45">
        <v>10</v>
      </c>
      <c r="B14" s="46" t="s">
        <v>301</v>
      </c>
      <c r="C14" s="47" t="s">
        <v>224</v>
      </c>
      <c r="D14" s="45">
        <v>3</v>
      </c>
      <c r="E14" s="45">
        <v>4</v>
      </c>
      <c r="F14" s="48">
        <f t="shared" si="0"/>
        <v>12</v>
      </c>
      <c r="G14" s="54" t="s">
        <v>29</v>
      </c>
      <c r="H14" s="47" t="s">
        <v>254</v>
      </c>
      <c r="I14" s="47" t="s">
        <v>255</v>
      </c>
      <c r="J14" s="47"/>
      <c r="K14" s="47" t="s">
        <v>69</v>
      </c>
      <c r="L14" s="51">
        <v>46001</v>
      </c>
      <c r="M14" s="52" t="s">
        <v>351</v>
      </c>
    </row>
    <row r="15" spans="1:13" ht="76.8" customHeight="1" x14ac:dyDescent="0.3">
      <c r="A15" s="45">
        <v>11</v>
      </c>
      <c r="B15" s="46" t="s">
        <v>302</v>
      </c>
      <c r="C15" s="47" t="s">
        <v>225</v>
      </c>
      <c r="D15" s="45">
        <v>2</v>
      </c>
      <c r="E15" s="45">
        <v>3</v>
      </c>
      <c r="F15" s="48">
        <f t="shared" si="0"/>
        <v>6</v>
      </c>
      <c r="G15" s="53" t="s">
        <v>22</v>
      </c>
      <c r="H15" s="47" t="s">
        <v>256</v>
      </c>
      <c r="I15" s="47" t="s">
        <v>257</v>
      </c>
      <c r="J15" s="47"/>
      <c r="K15" s="47" t="s">
        <v>70</v>
      </c>
      <c r="L15" s="55" t="s">
        <v>280</v>
      </c>
      <c r="M15" s="55" t="s">
        <v>280</v>
      </c>
    </row>
    <row r="16" spans="1:13" ht="72" x14ac:dyDescent="0.3">
      <c r="A16" s="45">
        <v>12</v>
      </c>
      <c r="B16" s="46" t="s">
        <v>303</v>
      </c>
      <c r="C16" s="47" t="s">
        <v>226</v>
      </c>
      <c r="D16" s="45">
        <v>3</v>
      </c>
      <c r="E16" s="45">
        <v>3</v>
      </c>
      <c r="F16" s="48">
        <f t="shared" si="0"/>
        <v>9</v>
      </c>
      <c r="G16" s="49" t="s">
        <v>26</v>
      </c>
      <c r="H16" s="47" t="s">
        <v>258</v>
      </c>
      <c r="I16" s="47" t="s">
        <v>259</v>
      </c>
      <c r="J16" s="47"/>
      <c r="K16" s="47" t="s">
        <v>286</v>
      </c>
      <c r="L16" s="51">
        <v>46001</v>
      </c>
      <c r="M16" s="55" t="s">
        <v>280</v>
      </c>
    </row>
    <row r="17" spans="1:13" ht="57.6" x14ac:dyDescent="0.3">
      <c r="A17" s="45">
        <v>13</v>
      </c>
      <c r="B17" s="46" t="s">
        <v>304</v>
      </c>
      <c r="C17" s="47" t="s">
        <v>227</v>
      </c>
      <c r="D17" s="45">
        <v>2</v>
      </c>
      <c r="E17" s="45">
        <v>5</v>
      </c>
      <c r="F17" s="48">
        <f t="shared" si="0"/>
        <v>10</v>
      </c>
      <c r="G17" s="49" t="s">
        <v>26</v>
      </c>
      <c r="H17" s="47" t="s">
        <v>260</v>
      </c>
      <c r="I17" s="47" t="s">
        <v>261</v>
      </c>
      <c r="J17" s="47"/>
      <c r="K17" s="50" t="s">
        <v>287</v>
      </c>
      <c r="L17" s="51">
        <v>46001</v>
      </c>
      <c r="M17" s="52" t="s">
        <v>351</v>
      </c>
    </row>
    <row r="18" spans="1:13" ht="72" x14ac:dyDescent="0.3">
      <c r="A18" s="45">
        <v>14</v>
      </c>
      <c r="B18" s="46" t="s">
        <v>305</v>
      </c>
      <c r="C18" s="47" t="s">
        <v>228</v>
      </c>
      <c r="D18" s="45">
        <v>2</v>
      </c>
      <c r="E18" s="45">
        <v>4</v>
      </c>
      <c r="F18" s="48">
        <f t="shared" si="0"/>
        <v>8</v>
      </c>
      <c r="G18" s="49" t="s">
        <v>26</v>
      </c>
      <c r="H18" s="47" t="s">
        <v>262</v>
      </c>
      <c r="I18" s="47" t="s">
        <v>263</v>
      </c>
      <c r="J18" s="47"/>
      <c r="K18" s="50" t="s">
        <v>282</v>
      </c>
      <c r="L18" s="55" t="s">
        <v>280</v>
      </c>
      <c r="M18" s="55" t="s">
        <v>280</v>
      </c>
    </row>
    <row r="19" spans="1:13" ht="91.2" customHeight="1" x14ac:dyDescent="0.3">
      <c r="A19" s="45">
        <v>15</v>
      </c>
      <c r="B19" s="46" t="s">
        <v>306</v>
      </c>
      <c r="C19" s="47" t="s">
        <v>229</v>
      </c>
      <c r="D19" s="45">
        <v>1</v>
      </c>
      <c r="E19" s="45">
        <v>3</v>
      </c>
      <c r="F19" s="48">
        <f t="shared" si="0"/>
        <v>3</v>
      </c>
      <c r="G19" s="53" t="s">
        <v>22</v>
      </c>
      <c r="H19" s="47" t="s">
        <v>264</v>
      </c>
      <c r="I19" s="47" t="s">
        <v>265</v>
      </c>
      <c r="J19" s="47"/>
      <c r="K19" s="50" t="s">
        <v>288</v>
      </c>
      <c r="L19" s="55" t="s">
        <v>280</v>
      </c>
      <c r="M19" s="55" t="s">
        <v>280</v>
      </c>
    </row>
    <row r="20" spans="1:13" ht="83.4" customHeight="1" x14ac:dyDescent="0.3">
      <c r="A20" s="45">
        <v>16</v>
      </c>
      <c r="B20" s="46" t="s">
        <v>307</v>
      </c>
      <c r="C20" s="47" t="s">
        <v>230</v>
      </c>
      <c r="D20" s="45">
        <v>4</v>
      </c>
      <c r="E20" s="45">
        <v>5</v>
      </c>
      <c r="F20" s="48">
        <f t="shared" si="0"/>
        <v>20</v>
      </c>
      <c r="G20" s="56" t="s">
        <v>212</v>
      </c>
      <c r="H20" s="47" t="s">
        <v>266</v>
      </c>
      <c r="I20" s="47" t="s">
        <v>352</v>
      </c>
      <c r="J20" s="47"/>
      <c r="K20" s="47" t="s">
        <v>283</v>
      </c>
      <c r="L20" s="51">
        <v>46001</v>
      </c>
      <c r="M20" s="52" t="s">
        <v>351</v>
      </c>
    </row>
    <row r="21" spans="1:13" ht="82.8" customHeight="1" x14ac:dyDescent="0.3">
      <c r="A21" s="45">
        <v>17</v>
      </c>
      <c r="B21" s="46" t="s">
        <v>308</v>
      </c>
      <c r="C21" s="47" t="s">
        <v>231</v>
      </c>
      <c r="D21" s="45">
        <v>2</v>
      </c>
      <c r="E21" s="45">
        <v>4</v>
      </c>
      <c r="F21" s="48">
        <f t="shared" si="0"/>
        <v>8</v>
      </c>
      <c r="G21" s="49" t="s">
        <v>26</v>
      </c>
      <c r="H21" s="47" t="s">
        <v>267</v>
      </c>
      <c r="I21" s="47" t="s">
        <v>268</v>
      </c>
      <c r="J21" s="47"/>
      <c r="K21" s="50" t="s">
        <v>289</v>
      </c>
      <c r="L21" s="51">
        <v>46011</v>
      </c>
      <c r="M21" s="52" t="s">
        <v>351</v>
      </c>
    </row>
    <row r="22" spans="1:13" ht="93.6" customHeight="1" x14ac:dyDescent="0.3">
      <c r="A22" s="45">
        <v>18</v>
      </c>
      <c r="B22" s="46" t="s">
        <v>309</v>
      </c>
      <c r="C22" s="47" t="s">
        <v>232</v>
      </c>
      <c r="D22" s="45">
        <v>2</v>
      </c>
      <c r="E22" s="45">
        <v>3</v>
      </c>
      <c r="F22" s="48">
        <f t="shared" si="0"/>
        <v>6</v>
      </c>
      <c r="G22" s="53" t="s">
        <v>22</v>
      </c>
      <c r="H22" s="47" t="s">
        <v>269</v>
      </c>
      <c r="I22" s="47" t="s">
        <v>265</v>
      </c>
      <c r="J22" s="47"/>
      <c r="K22" s="50" t="s">
        <v>61</v>
      </c>
      <c r="L22" s="55" t="s">
        <v>280</v>
      </c>
      <c r="M22" s="55" t="s">
        <v>280</v>
      </c>
    </row>
    <row r="23" spans="1:13" ht="92.4" customHeight="1" x14ac:dyDescent="0.3">
      <c r="A23" s="45">
        <v>19</v>
      </c>
      <c r="B23" s="46" t="s">
        <v>310</v>
      </c>
      <c r="C23" s="47" t="s">
        <v>233</v>
      </c>
      <c r="D23" s="45">
        <v>3</v>
      </c>
      <c r="E23" s="45">
        <v>3</v>
      </c>
      <c r="F23" s="48">
        <f t="shared" si="0"/>
        <v>9</v>
      </c>
      <c r="G23" s="49" t="s">
        <v>26</v>
      </c>
      <c r="H23" s="47" t="s">
        <v>270</v>
      </c>
      <c r="I23" s="47" t="s">
        <v>265</v>
      </c>
      <c r="J23" s="47"/>
      <c r="K23" s="50" t="s">
        <v>61</v>
      </c>
      <c r="L23" s="55" t="s">
        <v>280</v>
      </c>
      <c r="M23" s="55" t="s">
        <v>280</v>
      </c>
    </row>
    <row r="24" spans="1:13" ht="111" customHeight="1" x14ac:dyDescent="0.3">
      <c r="A24" s="45">
        <v>20</v>
      </c>
      <c r="B24" s="46" t="s">
        <v>311</v>
      </c>
      <c r="C24" s="47" t="s">
        <v>234</v>
      </c>
      <c r="D24" s="45">
        <v>1</v>
      </c>
      <c r="E24" s="45">
        <v>4</v>
      </c>
      <c r="F24" s="48">
        <f t="shared" si="0"/>
        <v>4</v>
      </c>
      <c r="G24" s="53" t="s">
        <v>22</v>
      </c>
      <c r="H24" s="47" t="s">
        <v>271</v>
      </c>
      <c r="I24" s="47" t="s">
        <v>272</v>
      </c>
      <c r="J24" s="47"/>
      <c r="K24" s="47" t="s">
        <v>290</v>
      </c>
      <c r="L24" s="51">
        <v>46011</v>
      </c>
      <c r="M24" s="52" t="s">
        <v>351</v>
      </c>
    </row>
    <row r="25" spans="1:13" ht="91.8" customHeight="1" x14ac:dyDescent="0.3">
      <c r="A25" s="45">
        <v>21</v>
      </c>
      <c r="B25" s="46" t="s">
        <v>312</v>
      </c>
      <c r="C25" s="47" t="s">
        <v>235</v>
      </c>
      <c r="D25" s="45">
        <v>2</v>
      </c>
      <c r="E25" s="45">
        <v>5</v>
      </c>
      <c r="F25" s="48">
        <f t="shared" si="0"/>
        <v>10</v>
      </c>
      <c r="G25" s="49" t="s">
        <v>26</v>
      </c>
      <c r="H25" s="47" t="s">
        <v>273</v>
      </c>
      <c r="I25" s="47" t="s">
        <v>265</v>
      </c>
      <c r="J25" s="47"/>
      <c r="K25" s="50" t="s">
        <v>291</v>
      </c>
      <c r="L25" s="55" t="s">
        <v>280</v>
      </c>
      <c r="M25" s="55" t="s">
        <v>280</v>
      </c>
    </row>
    <row r="26" spans="1:13" ht="93.6" customHeight="1" x14ac:dyDescent="0.3">
      <c r="A26" s="45">
        <v>22</v>
      </c>
      <c r="B26" s="46" t="s">
        <v>313</v>
      </c>
      <c r="C26" s="47" t="s">
        <v>236</v>
      </c>
      <c r="D26" s="45">
        <v>1</v>
      </c>
      <c r="E26" s="45">
        <v>5</v>
      </c>
      <c r="F26" s="48">
        <f t="shared" si="0"/>
        <v>5</v>
      </c>
      <c r="G26" s="53" t="s">
        <v>22</v>
      </c>
      <c r="H26" s="47" t="s">
        <v>274</v>
      </c>
      <c r="I26" s="47" t="s">
        <v>265</v>
      </c>
      <c r="J26" s="47"/>
      <c r="K26" s="47" t="s">
        <v>69</v>
      </c>
      <c r="L26" s="55" t="s">
        <v>280</v>
      </c>
      <c r="M26" s="55" t="s">
        <v>280</v>
      </c>
    </row>
    <row r="27" spans="1:13" ht="130.19999999999999" customHeight="1" x14ac:dyDescent="0.3">
      <c r="A27" s="45">
        <v>23</v>
      </c>
      <c r="B27" s="46" t="s">
        <v>314</v>
      </c>
      <c r="C27" s="47" t="s">
        <v>237</v>
      </c>
      <c r="D27" s="45">
        <v>2</v>
      </c>
      <c r="E27" s="45">
        <v>4</v>
      </c>
      <c r="F27" s="45">
        <v>8</v>
      </c>
      <c r="G27" s="49" t="s">
        <v>26</v>
      </c>
      <c r="H27" s="47" t="s">
        <v>275</v>
      </c>
      <c r="I27" s="47" t="s">
        <v>265</v>
      </c>
      <c r="J27" s="47"/>
      <c r="K27" s="47" t="s">
        <v>70</v>
      </c>
      <c r="L27" s="55" t="s">
        <v>280</v>
      </c>
      <c r="M27" s="55" t="s">
        <v>280</v>
      </c>
    </row>
    <row r="28" spans="1:13" ht="72" x14ac:dyDescent="0.3">
      <c r="A28" s="45">
        <v>24</v>
      </c>
      <c r="B28" s="46" t="s">
        <v>315</v>
      </c>
      <c r="C28" s="47" t="s">
        <v>238</v>
      </c>
      <c r="D28" s="45">
        <v>1</v>
      </c>
      <c r="E28" s="45">
        <v>4</v>
      </c>
      <c r="F28" s="45">
        <v>4</v>
      </c>
      <c r="G28" s="53" t="s">
        <v>22</v>
      </c>
      <c r="H28" s="47" t="s">
        <v>276</v>
      </c>
      <c r="I28" s="47" t="s">
        <v>277</v>
      </c>
      <c r="J28" s="47"/>
      <c r="K28" s="47" t="s">
        <v>66</v>
      </c>
      <c r="L28" s="56" t="s">
        <v>281</v>
      </c>
      <c r="M28" s="52" t="s">
        <v>351</v>
      </c>
    </row>
    <row r="29" spans="1:13" ht="72" x14ac:dyDescent="0.3">
      <c r="A29" s="57">
        <v>25</v>
      </c>
      <c r="B29" s="58" t="s">
        <v>316</v>
      </c>
      <c r="C29" s="59" t="s">
        <v>239</v>
      </c>
      <c r="D29" s="57">
        <v>2</v>
      </c>
      <c r="E29" s="57">
        <v>3</v>
      </c>
      <c r="F29" s="57">
        <v>6</v>
      </c>
      <c r="G29" s="60" t="s">
        <v>22</v>
      </c>
      <c r="H29" s="59" t="s">
        <v>278</v>
      </c>
      <c r="I29" s="59" t="s">
        <v>279</v>
      </c>
      <c r="J29" s="59"/>
      <c r="K29" s="61" t="s">
        <v>61</v>
      </c>
      <c r="L29" s="62" t="s">
        <v>280</v>
      </c>
      <c r="M29" s="62" t="s">
        <v>280</v>
      </c>
    </row>
    <row r="30" spans="1:13" ht="91.8" customHeight="1" x14ac:dyDescent="0.3">
      <c r="A30" s="45">
        <v>26</v>
      </c>
      <c r="B30" s="66" t="s">
        <v>355</v>
      </c>
      <c r="C30" s="64" t="s">
        <v>354</v>
      </c>
      <c r="D30" s="39">
        <v>2</v>
      </c>
      <c r="E30" s="39">
        <v>4</v>
      </c>
      <c r="F30" s="39">
        <v>12</v>
      </c>
      <c r="G30" s="54" t="s">
        <v>29</v>
      </c>
      <c r="H30" s="67" t="s">
        <v>357</v>
      </c>
      <c r="I30" s="67" t="s">
        <v>356</v>
      </c>
      <c r="J30" s="63"/>
      <c r="K30" s="63" t="s">
        <v>358</v>
      </c>
      <c r="L30" s="62" t="s">
        <v>280</v>
      </c>
      <c r="M30" s="52" t="s">
        <v>351</v>
      </c>
    </row>
    <row r="31" spans="1:13" ht="28.8" x14ac:dyDescent="0.3">
      <c r="A31" s="57">
        <v>27</v>
      </c>
      <c r="B31" s="65" t="s">
        <v>353</v>
      </c>
      <c r="C31" s="64" t="s">
        <v>359</v>
      </c>
      <c r="D31" s="39">
        <v>2</v>
      </c>
      <c r="E31" s="39">
        <v>4</v>
      </c>
      <c r="F31" s="39">
        <v>12</v>
      </c>
      <c r="G31" s="54" t="s">
        <v>29</v>
      </c>
      <c r="H31" s="67" t="s">
        <v>360</v>
      </c>
      <c r="I31" s="67" t="s">
        <v>361</v>
      </c>
      <c r="J31" s="63"/>
      <c r="K31" s="67" t="s">
        <v>64</v>
      </c>
      <c r="L31" s="68" t="s">
        <v>280</v>
      </c>
      <c r="M31" s="52" t="s">
        <v>351</v>
      </c>
    </row>
    <row r="32" spans="1:13" ht="28.8" x14ac:dyDescent="0.3">
      <c r="A32" s="45">
        <v>28</v>
      </c>
      <c r="B32" s="65" t="s">
        <v>362</v>
      </c>
      <c r="C32" s="64" t="s">
        <v>365</v>
      </c>
      <c r="D32" s="39">
        <v>3</v>
      </c>
      <c r="E32" s="39">
        <v>3</v>
      </c>
      <c r="F32" s="39">
        <v>9</v>
      </c>
      <c r="G32" s="49" t="s">
        <v>26</v>
      </c>
      <c r="H32" s="67" t="s">
        <v>366</v>
      </c>
      <c r="I32" s="67" t="s">
        <v>367</v>
      </c>
      <c r="J32" s="63"/>
      <c r="K32" s="69" t="s">
        <v>368</v>
      </c>
      <c r="L32" s="68" t="s">
        <v>280</v>
      </c>
      <c r="M32" s="52" t="s">
        <v>351</v>
      </c>
    </row>
    <row r="33" spans="1:13" ht="43.2" x14ac:dyDescent="0.3">
      <c r="A33" s="57">
        <v>29</v>
      </c>
      <c r="B33" s="65" t="s">
        <v>363</v>
      </c>
      <c r="C33" s="64" t="s">
        <v>369</v>
      </c>
      <c r="D33" s="39">
        <v>3</v>
      </c>
      <c r="E33" s="39">
        <v>3</v>
      </c>
      <c r="F33" s="39">
        <v>9</v>
      </c>
      <c r="G33" s="49" t="s">
        <v>26</v>
      </c>
      <c r="H33" s="63" t="s">
        <v>370</v>
      </c>
      <c r="I33" s="67" t="s">
        <v>371</v>
      </c>
      <c r="J33" s="63"/>
      <c r="K33" s="69" t="s">
        <v>368</v>
      </c>
      <c r="L33" s="68" t="s">
        <v>280</v>
      </c>
      <c r="M33" s="52" t="s">
        <v>351</v>
      </c>
    </row>
    <row r="34" spans="1:13" ht="57.6" x14ac:dyDescent="0.3">
      <c r="A34" s="45">
        <v>30</v>
      </c>
      <c r="B34" s="65" t="s">
        <v>364</v>
      </c>
      <c r="C34" s="64" t="s">
        <v>372</v>
      </c>
      <c r="D34" s="39">
        <v>2</v>
      </c>
      <c r="E34" s="39">
        <v>4</v>
      </c>
      <c r="F34" s="39">
        <v>8</v>
      </c>
      <c r="G34" s="49" t="s">
        <v>26</v>
      </c>
      <c r="H34" s="67" t="s">
        <v>374</v>
      </c>
      <c r="I34" s="67" t="s">
        <v>375</v>
      </c>
      <c r="J34" s="63"/>
      <c r="K34" s="63" t="s">
        <v>376</v>
      </c>
      <c r="L34" s="68" t="s">
        <v>280</v>
      </c>
      <c r="M34" s="52" t="s">
        <v>351</v>
      </c>
    </row>
    <row r="35" spans="1:13" ht="43.2" x14ac:dyDescent="0.3">
      <c r="A35" s="57">
        <v>31</v>
      </c>
      <c r="B35" s="65" t="s">
        <v>232</v>
      </c>
      <c r="C35" s="64" t="s">
        <v>373</v>
      </c>
      <c r="D35" s="39">
        <v>2</v>
      </c>
      <c r="E35" s="39">
        <v>3</v>
      </c>
      <c r="F35" s="39">
        <v>6</v>
      </c>
      <c r="G35" s="60" t="s">
        <v>22</v>
      </c>
      <c r="H35" s="67" t="s">
        <v>377</v>
      </c>
      <c r="I35" s="67" t="s">
        <v>378</v>
      </c>
      <c r="J35" s="63"/>
      <c r="K35" s="63" t="s">
        <v>379</v>
      </c>
      <c r="L35" s="68" t="s">
        <v>280</v>
      </c>
      <c r="M35" s="52" t="s">
        <v>351</v>
      </c>
    </row>
    <row r="36" spans="1:13" x14ac:dyDescent="0.3">
      <c r="A36" s="45">
        <v>32</v>
      </c>
      <c r="B36" s="65"/>
      <c r="C36" s="64"/>
      <c r="D36" s="39"/>
      <c r="E36" s="39"/>
      <c r="F36" s="39"/>
      <c r="G36" s="39"/>
      <c r="H36" s="63"/>
      <c r="I36" s="63"/>
      <c r="J36" s="63"/>
      <c r="K36" s="63"/>
      <c r="L36" s="39"/>
      <c r="M36" s="63"/>
    </row>
    <row r="37" spans="1:13" x14ac:dyDescent="0.3">
      <c r="A37" s="57">
        <v>33</v>
      </c>
      <c r="B37" s="65"/>
      <c r="C37" s="64"/>
      <c r="D37" s="39"/>
      <c r="E37" s="39"/>
      <c r="F37" s="39"/>
      <c r="G37" s="39"/>
      <c r="H37" s="63"/>
      <c r="I37" s="63"/>
      <c r="J37" s="63"/>
      <c r="K37" s="63"/>
      <c r="L37" s="39"/>
      <c r="M37" s="63"/>
    </row>
    <row r="38" spans="1:13" x14ac:dyDescent="0.3">
      <c r="A38" s="45">
        <v>34</v>
      </c>
      <c r="B38" s="65"/>
      <c r="C38" s="64"/>
      <c r="D38" s="39"/>
      <c r="E38" s="39"/>
      <c r="F38" s="39"/>
      <c r="G38" s="39"/>
      <c r="H38" s="63"/>
      <c r="I38" s="63"/>
      <c r="J38" s="63"/>
      <c r="K38" s="63"/>
      <c r="L38" s="39"/>
      <c r="M38" s="63"/>
    </row>
    <row r="39" spans="1:13" x14ac:dyDescent="0.3">
      <c r="A39" s="57">
        <v>35</v>
      </c>
      <c r="B39" s="65"/>
      <c r="C39" s="64"/>
      <c r="D39" s="39"/>
      <c r="E39" s="39"/>
      <c r="F39" s="39"/>
      <c r="G39" s="39"/>
      <c r="H39" s="63"/>
      <c r="I39" s="63"/>
      <c r="J39" s="63"/>
      <c r="K39" s="63"/>
      <c r="L39" s="39"/>
      <c r="M39" s="63"/>
    </row>
  </sheetData>
  <autoFilter ref="A4:L18" xr:uid="{9824E0C7-E8EE-43CB-ABB6-A18F1AB8866C}"/>
  <mergeCells count="1">
    <mergeCell ref="A1:M2"/>
  </mergeCells>
  <pageMargins left="0.7" right="0.7" top="0.75" bottom="0.75" header="0.3" footer="0.3"/>
  <pageSetup paperSize="9" scale="7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E0C7-E8EE-43CB-ABB6-A18F1AB8866C}">
  <dimension ref="A1:L29"/>
  <sheetViews>
    <sheetView zoomScale="90" zoomScaleNormal="90" workbookViewId="0">
      <pane ySplit="4" topLeftCell="A16" activePane="bottomLeft" state="frozen"/>
      <selection pane="bottomLeft" activeCell="Q10" sqref="Q10"/>
    </sheetView>
  </sheetViews>
  <sheetFormatPr defaultRowHeight="14.4" x14ac:dyDescent="0.3"/>
  <cols>
    <col min="1" max="1" width="5.33203125" style="29" customWidth="1"/>
    <col min="2" max="2" width="31" style="29" customWidth="1"/>
    <col min="3" max="3" width="9.77734375" style="31" customWidth="1"/>
    <col min="4" max="6" width="8.33203125" style="31" customWidth="1"/>
    <col min="7" max="7" width="9.21875" style="31" customWidth="1"/>
    <col min="8" max="8" width="28.109375" style="29" customWidth="1"/>
    <col min="9" max="9" width="25.33203125" style="29" customWidth="1"/>
    <col min="10" max="10" width="8.88671875" style="29"/>
    <col min="11" max="11" width="16.44140625" style="29" customWidth="1"/>
    <col min="12" max="12" width="11.77734375" style="29" customWidth="1"/>
    <col min="13" max="16384" width="8.88671875" style="29"/>
  </cols>
  <sheetData>
    <row r="1" spans="1:12" s="20" customFormat="1" ht="22.2" customHeight="1" x14ac:dyDescent="0.3">
      <c r="A1" s="85" t="s">
        <v>217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s="20" customFormat="1" ht="22.5" customHeight="1" x14ac:dyDescent="0.3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s="20" customFormat="1" ht="13.05" customHeight="1" x14ac:dyDescent="0.3">
      <c r="A3" s="21"/>
      <c r="C3" s="21"/>
      <c r="D3" s="21"/>
      <c r="E3" s="21"/>
      <c r="F3" s="21"/>
      <c r="G3" s="21"/>
    </row>
    <row r="4" spans="1:12" s="23" customFormat="1" ht="34.5" customHeight="1" x14ac:dyDescent="0.3">
      <c r="A4" s="22" t="s">
        <v>37</v>
      </c>
      <c r="B4" s="22" t="s">
        <v>38</v>
      </c>
      <c r="C4" s="22" t="s">
        <v>39</v>
      </c>
      <c r="D4" s="22" t="s">
        <v>40</v>
      </c>
      <c r="E4" s="22" t="s">
        <v>41</v>
      </c>
      <c r="F4" s="22" t="s">
        <v>42</v>
      </c>
      <c r="G4" s="22" t="s">
        <v>43</v>
      </c>
      <c r="H4" s="22" t="s">
        <v>44</v>
      </c>
      <c r="I4" s="22" t="s">
        <v>45</v>
      </c>
      <c r="J4" s="22" t="s">
        <v>46</v>
      </c>
      <c r="K4" s="22" t="s">
        <v>47</v>
      </c>
      <c r="L4" s="22" t="s">
        <v>48</v>
      </c>
    </row>
    <row r="5" spans="1:12" ht="86.4" x14ac:dyDescent="0.3">
      <c r="A5" s="21">
        <v>1</v>
      </c>
      <c r="B5" s="24" t="s">
        <v>103</v>
      </c>
      <c r="C5" s="21" t="s">
        <v>71</v>
      </c>
      <c r="D5" s="21">
        <v>2</v>
      </c>
      <c r="E5" s="21">
        <v>4</v>
      </c>
      <c r="F5" s="23">
        <f>D5*E5</f>
        <v>8</v>
      </c>
      <c r="G5" s="26" t="s">
        <v>63</v>
      </c>
      <c r="H5" s="20" t="s">
        <v>104</v>
      </c>
      <c r="I5" s="20" t="s">
        <v>130</v>
      </c>
      <c r="K5" s="20" t="s">
        <v>106</v>
      </c>
      <c r="L5" s="25">
        <v>46006</v>
      </c>
    </row>
    <row r="6" spans="1:12" ht="72" x14ac:dyDescent="0.3">
      <c r="A6" s="21">
        <v>2</v>
      </c>
      <c r="B6" s="24" t="s">
        <v>72</v>
      </c>
      <c r="C6" s="20" t="s">
        <v>73</v>
      </c>
      <c r="D6" s="21">
        <v>2</v>
      </c>
      <c r="E6" s="21">
        <v>5</v>
      </c>
      <c r="F6" s="23">
        <f t="shared" ref="F6:F26" si="0">D6*E6</f>
        <v>10</v>
      </c>
      <c r="G6" s="26" t="s">
        <v>63</v>
      </c>
      <c r="H6" s="20" t="s">
        <v>107</v>
      </c>
      <c r="I6" s="20" t="s">
        <v>131</v>
      </c>
      <c r="K6" s="20" t="s">
        <v>161</v>
      </c>
      <c r="L6" s="25">
        <v>45992</v>
      </c>
    </row>
    <row r="7" spans="1:12" ht="86.4" x14ac:dyDescent="0.3">
      <c r="A7" s="21">
        <v>3</v>
      </c>
      <c r="B7" s="24" t="s">
        <v>75</v>
      </c>
      <c r="C7" s="20" t="s">
        <v>76</v>
      </c>
      <c r="D7" s="21">
        <v>1</v>
      </c>
      <c r="E7" s="21">
        <v>4</v>
      </c>
      <c r="F7" s="23">
        <f t="shared" si="0"/>
        <v>4</v>
      </c>
      <c r="G7" s="30" t="s">
        <v>105</v>
      </c>
      <c r="H7" s="20" t="s">
        <v>108</v>
      </c>
      <c r="I7" s="20" t="s">
        <v>132</v>
      </c>
      <c r="K7" s="20" t="s">
        <v>77</v>
      </c>
      <c r="L7" s="25">
        <v>46011</v>
      </c>
    </row>
    <row r="8" spans="1:12" ht="72" x14ac:dyDescent="0.3">
      <c r="A8" s="21">
        <v>4</v>
      </c>
      <c r="B8" s="24" t="s">
        <v>78</v>
      </c>
      <c r="C8" s="20" t="s">
        <v>79</v>
      </c>
      <c r="D8" s="21">
        <v>1</v>
      </c>
      <c r="E8" s="21">
        <v>3</v>
      </c>
      <c r="F8" s="23">
        <f t="shared" si="0"/>
        <v>3</v>
      </c>
      <c r="G8" s="30" t="s">
        <v>105</v>
      </c>
      <c r="H8" s="20" t="s">
        <v>134</v>
      </c>
      <c r="I8" s="20" t="s">
        <v>133</v>
      </c>
      <c r="K8" s="20" t="s">
        <v>109</v>
      </c>
      <c r="L8" s="25">
        <v>46006</v>
      </c>
    </row>
    <row r="9" spans="1:12" ht="72" x14ac:dyDescent="0.3">
      <c r="A9" s="21">
        <v>5</v>
      </c>
      <c r="B9" s="24" t="s">
        <v>110</v>
      </c>
      <c r="C9" s="20" t="s">
        <v>112</v>
      </c>
      <c r="D9" s="21">
        <v>3</v>
      </c>
      <c r="E9" s="21">
        <v>5</v>
      </c>
      <c r="F9" s="23">
        <f t="shared" si="0"/>
        <v>15</v>
      </c>
      <c r="G9" s="27" t="s">
        <v>59</v>
      </c>
      <c r="H9" s="20" t="s">
        <v>111</v>
      </c>
      <c r="I9" s="20" t="s">
        <v>319</v>
      </c>
      <c r="K9" s="20" t="s">
        <v>80</v>
      </c>
      <c r="L9" s="25">
        <v>45992</v>
      </c>
    </row>
    <row r="10" spans="1:12" ht="72" x14ac:dyDescent="0.3">
      <c r="A10" s="21">
        <v>6</v>
      </c>
      <c r="B10" s="24" t="s">
        <v>81</v>
      </c>
      <c r="C10" s="20" t="s">
        <v>82</v>
      </c>
      <c r="D10" s="21">
        <v>2</v>
      </c>
      <c r="E10" s="21">
        <v>4</v>
      </c>
      <c r="F10" s="23">
        <f t="shared" si="0"/>
        <v>8</v>
      </c>
      <c r="G10" s="26" t="s">
        <v>63</v>
      </c>
      <c r="H10" s="20" t="s">
        <v>113</v>
      </c>
      <c r="I10" s="20" t="s">
        <v>135</v>
      </c>
      <c r="K10" s="20" t="s">
        <v>83</v>
      </c>
      <c r="L10" s="20" t="s">
        <v>136</v>
      </c>
    </row>
    <row r="11" spans="1:12" ht="72" x14ac:dyDescent="0.3">
      <c r="A11" s="21">
        <v>7</v>
      </c>
      <c r="B11" s="24" t="s">
        <v>84</v>
      </c>
      <c r="C11" s="20" t="s">
        <v>85</v>
      </c>
      <c r="D11" s="21">
        <v>1</v>
      </c>
      <c r="E11" s="21">
        <v>5</v>
      </c>
      <c r="F11" s="23">
        <f t="shared" si="0"/>
        <v>5</v>
      </c>
      <c r="G11" s="30" t="s">
        <v>105</v>
      </c>
      <c r="H11" s="20" t="s">
        <v>317</v>
      </c>
      <c r="I11" s="20" t="s">
        <v>150</v>
      </c>
      <c r="K11" s="20" t="s">
        <v>86</v>
      </c>
      <c r="L11" s="20" t="s">
        <v>151</v>
      </c>
    </row>
    <row r="12" spans="1:12" ht="57.6" x14ac:dyDescent="0.3">
      <c r="A12" s="21">
        <v>8</v>
      </c>
      <c r="B12" s="24" t="s">
        <v>87</v>
      </c>
      <c r="C12" s="20" t="s">
        <v>88</v>
      </c>
      <c r="D12" s="21">
        <v>3</v>
      </c>
      <c r="E12" s="21">
        <v>4</v>
      </c>
      <c r="F12" s="23">
        <f t="shared" si="0"/>
        <v>12</v>
      </c>
      <c r="G12" s="27" t="s">
        <v>59</v>
      </c>
      <c r="H12" s="20" t="s">
        <v>114</v>
      </c>
      <c r="I12" s="20" t="s">
        <v>135</v>
      </c>
      <c r="K12" s="20" t="s">
        <v>137</v>
      </c>
      <c r="L12" s="20" t="s">
        <v>136</v>
      </c>
    </row>
    <row r="13" spans="1:12" ht="72" x14ac:dyDescent="0.3">
      <c r="A13" s="21">
        <v>9</v>
      </c>
      <c r="B13" s="24" t="s">
        <v>89</v>
      </c>
      <c r="C13" s="20" t="s">
        <v>90</v>
      </c>
      <c r="D13" s="21">
        <v>2</v>
      </c>
      <c r="E13" s="21">
        <v>3</v>
      </c>
      <c r="F13" s="23">
        <f t="shared" si="0"/>
        <v>6</v>
      </c>
      <c r="G13" s="30" t="s">
        <v>105</v>
      </c>
      <c r="H13" s="20" t="s">
        <v>115</v>
      </c>
      <c r="I13" s="20" t="s">
        <v>138</v>
      </c>
      <c r="K13" s="20" t="s">
        <v>69</v>
      </c>
      <c r="L13" s="25">
        <v>46001</v>
      </c>
    </row>
    <row r="14" spans="1:12" ht="72" x14ac:dyDescent="0.3">
      <c r="A14" s="21">
        <v>10</v>
      </c>
      <c r="B14" s="24" t="s">
        <v>91</v>
      </c>
      <c r="C14" s="20" t="s">
        <v>92</v>
      </c>
      <c r="D14" s="21">
        <v>3</v>
      </c>
      <c r="E14" s="21">
        <v>4</v>
      </c>
      <c r="F14" s="23">
        <f t="shared" si="0"/>
        <v>12</v>
      </c>
      <c r="G14" s="27" t="s">
        <v>59</v>
      </c>
      <c r="H14" s="20" t="s">
        <v>139</v>
      </c>
      <c r="I14" s="20" t="s">
        <v>140</v>
      </c>
      <c r="K14" s="20" t="s">
        <v>69</v>
      </c>
      <c r="L14" s="25">
        <v>46001</v>
      </c>
    </row>
    <row r="15" spans="1:12" ht="72" x14ac:dyDescent="0.3">
      <c r="A15" s="21">
        <v>11</v>
      </c>
      <c r="B15" s="24" t="s">
        <v>93</v>
      </c>
      <c r="C15" s="20" t="s">
        <v>94</v>
      </c>
      <c r="D15" s="21">
        <v>2</v>
      </c>
      <c r="E15" s="21">
        <v>3</v>
      </c>
      <c r="F15" s="23">
        <f t="shared" si="0"/>
        <v>6</v>
      </c>
      <c r="G15" s="30" t="s">
        <v>105</v>
      </c>
      <c r="H15" s="20" t="s">
        <v>141</v>
      </c>
      <c r="I15" s="20" t="s">
        <v>142</v>
      </c>
      <c r="K15" s="20" t="s">
        <v>95</v>
      </c>
      <c r="L15" s="20" t="s">
        <v>136</v>
      </c>
    </row>
    <row r="16" spans="1:12" ht="72" x14ac:dyDescent="0.3">
      <c r="A16" s="21">
        <v>12</v>
      </c>
      <c r="B16" s="24" t="s">
        <v>96</v>
      </c>
      <c r="C16" s="20" t="s">
        <v>97</v>
      </c>
      <c r="D16" s="21">
        <v>3</v>
      </c>
      <c r="E16" s="21">
        <v>3</v>
      </c>
      <c r="F16" s="23">
        <f t="shared" si="0"/>
        <v>9</v>
      </c>
      <c r="G16" s="26" t="s">
        <v>63</v>
      </c>
      <c r="H16" s="20" t="s">
        <v>143</v>
      </c>
      <c r="I16" s="20" t="s">
        <v>144</v>
      </c>
      <c r="K16" s="20" t="s">
        <v>116</v>
      </c>
      <c r="L16" s="25">
        <v>46001</v>
      </c>
    </row>
    <row r="17" spans="1:12" ht="57.6" x14ac:dyDescent="0.3">
      <c r="A17" s="21">
        <v>13</v>
      </c>
      <c r="B17" s="24" t="s">
        <v>117</v>
      </c>
      <c r="C17" s="20" t="s">
        <v>118</v>
      </c>
      <c r="D17" s="21">
        <v>2</v>
      </c>
      <c r="E17" s="21">
        <v>5</v>
      </c>
      <c r="F17" s="23">
        <f t="shared" si="0"/>
        <v>10</v>
      </c>
      <c r="G17" s="26" t="s">
        <v>63</v>
      </c>
      <c r="H17" s="20" t="s">
        <v>119</v>
      </c>
      <c r="I17" s="20" t="s">
        <v>120</v>
      </c>
      <c r="K17" s="20" t="s">
        <v>121</v>
      </c>
      <c r="L17" s="25">
        <v>46001</v>
      </c>
    </row>
    <row r="18" spans="1:12" ht="57.6" x14ac:dyDescent="0.3">
      <c r="A18" s="21">
        <v>14</v>
      </c>
      <c r="B18" s="24" t="s">
        <v>98</v>
      </c>
      <c r="C18" s="20" t="s">
        <v>122</v>
      </c>
      <c r="D18" s="21">
        <v>2</v>
      </c>
      <c r="E18" s="21">
        <v>4</v>
      </c>
      <c r="F18" s="23">
        <f t="shared" si="0"/>
        <v>8</v>
      </c>
      <c r="G18" s="26" t="s">
        <v>63</v>
      </c>
      <c r="H18" s="20" t="s">
        <v>145</v>
      </c>
      <c r="I18" s="20" t="s">
        <v>123</v>
      </c>
      <c r="K18" s="20" t="s">
        <v>106</v>
      </c>
      <c r="L18" s="20" t="s">
        <v>136</v>
      </c>
    </row>
    <row r="19" spans="1:12" ht="72" x14ac:dyDescent="0.3">
      <c r="A19" s="21">
        <v>15</v>
      </c>
      <c r="B19" s="24" t="s">
        <v>99</v>
      </c>
      <c r="C19" s="21" t="s">
        <v>100</v>
      </c>
      <c r="D19" s="21">
        <v>1</v>
      </c>
      <c r="E19" s="21">
        <v>3</v>
      </c>
      <c r="F19" s="23">
        <f t="shared" si="0"/>
        <v>3</v>
      </c>
      <c r="G19" s="30" t="s">
        <v>105</v>
      </c>
      <c r="H19" s="20" t="s">
        <v>124</v>
      </c>
      <c r="I19" s="20" t="s">
        <v>125</v>
      </c>
      <c r="K19" s="20" t="s">
        <v>101</v>
      </c>
      <c r="L19" s="20" t="s">
        <v>136</v>
      </c>
    </row>
    <row r="20" spans="1:12" ht="72" x14ac:dyDescent="0.3">
      <c r="A20" s="21">
        <v>16</v>
      </c>
      <c r="B20" s="24" t="s">
        <v>102</v>
      </c>
      <c r="C20" s="21" t="s">
        <v>125</v>
      </c>
      <c r="D20" s="21">
        <v>4</v>
      </c>
      <c r="E20" s="21">
        <v>5</v>
      </c>
      <c r="F20" s="23">
        <f t="shared" si="0"/>
        <v>20</v>
      </c>
      <c r="G20" s="28" t="s">
        <v>126</v>
      </c>
      <c r="H20" s="20" t="s">
        <v>127</v>
      </c>
      <c r="I20" s="20" t="s">
        <v>128</v>
      </c>
      <c r="K20" s="20" t="s">
        <v>129</v>
      </c>
      <c r="L20" s="25">
        <v>46001</v>
      </c>
    </row>
    <row r="21" spans="1:12" ht="72" x14ac:dyDescent="0.3">
      <c r="A21" s="21">
        <v>17</v>
      </c>
      <c r="B21" s="20" t="s">
        <v>153</v>
      </c>
      <c r="C21" s="20" t="s">
        <v>154</v>
      </c>
      <c r="D21" s="21">
        <v>2</v>
      </c>
      <c r="E21" s="21">
        <v>4</v>
      </c>
      <c r="F21" s="23">
        <f t="shared" si="0"/>
        <v>8</v>
      </c>
      <c r="G21" s="26" t="s">
        <v>63</v>
      </c>
      <c r="H21" s="20" t="s">
        <v>155</v>
      </c>
      <c r="I21" s="20" t="s">
        <v>156</v>
      </c>
      <c r="J21" s="20"/>
      <c r="K21" s="20" t="s">
        <v>146</v>
      </c>
      <c r="L21" s="25">
        <v>46011</v>
      </c>
    </row>
    <row r="22" spans="1:12" ht="100.8" x14ac:dyDescent="0.3">
      <c r="A22" s="21">
        <v>18</v>
      </c>
      <c r="B22" s="20" t="s">
        <v>157</v>
      </c>
      <c r="C22" s="20" t="s">
        <v>158</v>
      </c>
      <c r="D22" s="21">
        <v>2</v>
      </c>
      <c r="E22" s="21">
        <v>3</v>
      </c>
      <c r="F22" s="23">
        <f t="shared" si="0"/>
        <v>6</v>
      </c>
      <c r="G22" s="30" t="s">
        <v>105</v>
      </c>
      <c r="H22" s="20" t="s">
        <v>159</v>
      </c>
      <c r="I22" s="20" t="s">
        <v>125</v>
      </c>
      <c r="J22" s="20"/>
      <c r="K22" s="20" t="s">
        <v>160</v>
      </c>
      <c r="L22" s="20" t="s">
        <v>136</v>
      </c>
    </row>
    <row r="23" spans="1:12" ht="100.8" x14ac:dyDescent="0.3">
      <c r="A23" s="21">
        <v>19</v>
      </c>
      <c r="B23" s="20" t="s">
        <v>162</v>
      </c>
      <c r="C23" s="20" t="s">
        <v>147</v>
      </c>
      <c r="D23" s="21">
        <v>3</v>
      </c>
      <c r="E23" s="21">
        <v>3</v>
      </c>
      <c r="F23" s="23">
        <f t="shared" si="0"/>
        <v>9</v>
      </c>
      <c r="G23" s="26" t="s">
        <v>63</v>
      </c>
      <c r="H23" s="20" t="s">
        <v>163</v>
      </c>
      <c r="I23" s="20" t="s">
        <v>125</v>
      </c>
      <c r="J23" s="20"/>
      <c r="K23" s="20" t="s">
        <v>160</v>
      </c>
      <c r="L23" s="20" t="s">
        <v>136</v>
      </c>
    </row>
    <row r="24" spans="1:12" ht="86.4" x14ac:dyDescent="0.3">
      <c r="A24" s="21">
        <v>20</v>
      </c>
      <c r="B24" s="20" t="s">
        <v>164</v>
      </c>
      <c r="C24" s="20" t="s">
        <v>165</v>
      </c>
      <c r="D24" s="21">
        <v>1</v>
      </c>
      <c r="E24" s="21">
        <v>4</v>
      </c>
      <c r="F24" s="23">
        <f t="shared" si="0"/>
        <v>4</v>
      </c>
      <c r="G24" s="30" t="s">
        <v>105</v>
      </c>
      <c r="H24" s="20" t="s">
        <v>166</v>
      </c>
      <c r="I24" s="20" t="s">
        <v>168</v>
      </c>
      <c r="J24" s="20"/>
      <c r="K24" s="20" t="s">
        <v>167</v>
      </c>
      <c r="L24" s="25">
        <v>46011</v>
      </c>
    </row>
    <row r="25" spans="1:12" ht="72" x14ac:dyDescent="0.3">
      <c r="A25" s="21">
        <v>21</v>
      </c>
      <c r="B25" s="20" t="s">
        <v>173</v>
      </c>
      <c r="C25" s="20" t="s">
        <v>169</v>
      </c>
      <c r="D25" s="21">
        <v>2</v>
      </c>
      <c r="E25" s="21">
        <v>5</v>
      </c>
      <c r="F25" s="23">
        <f t="shared" si="0"/>
        <v>10</v>
      </c>
      <c r="G25" s="26" t="s">
        <v>63</v>
      </c>
      <c r="H25" s="20" t="s">
        <v>170</v>
      </c>
      <c r="I25" s="20" t="s">
        <v>125</v>
      </c>
      <c r="J25" s="20"/>
      <c r="K25" s="20" t="s">
        <v>171</v>
      </c>
      <c r="L25" s="20" t="s">
        <v>136</v>
      </c>
    </row>
    <row r="26" spans="1:12" ht="86.4" x14ac:dyDescent="0.3">
      <c r="A26" s="21">
        <v>22</v>
      </c>
      <c r="B26" s="20" t="s">
        <v>172</v>
      </c>
      <c r="C26" s="20" t="s">
        <v>148</v>
      </c>
      <c r="D26" s="21">
        <v>1</v>
      </c>
      <c r="E26" s="21">
        <v>5</v>
      </c>
      <c r="F26" s="23">
        <f t="shared" si="0"/>
        <v>5</v>
      </c>
      <c r="G26" s="30" t="s">
        <v>105</v>
      </c>
      <c r="H26" s="20" t="s">
        <v>174</v>
      </c>
      <c r="I26" s="20" t="s">
        <v>125</v>
      </c>
      <c r="J26" s="20"/>
      <c r="K26" s="20" t="s">
        <v>69</v>
      </c>
      <c r="L26" s="20" t="s">
        <v>136</v>
      </c>
    </row>
    <row r="27" spans="1:12" ht="100.8" x14ac:dyDescent="0.3">
      <c r="A27" s="21">
        <v>23</v>
      </c>
      <c r="B27" s="20" t="s">
        <v>175</v>
      </c>
      <c r="C27" s="20" t="s">
        <v>149</v>
      </c>
      <c r="D27" s="21">
        <v>2</v>
      </c>
      <c r="E27" s="21">
        <v>4</v>
      </c>
      <c r="F27" s="21">
        <v>8</v>
      </c>
      <c r="G27" s="26" t="s">
        <v>63</v>
      </c>
      <c r="H27" s="20" t="s">
        <v>176</v>
      </c>
      <c r="I27" s="20" t="s">
        <v>125</v>
      </c>
      <c r="J27" s="20"/>
      <c r="K27" s="20" t="s">
        <v>95</v>
      </c>
      <c r="L27" s="20" t="s">
        <v>136</v>
      </c>
    </row>
    <row r="28" spans="1:12" ht="115.2" x14ac:dyDescent="0.3">
      <c r="A28" s="21">
        <v>24</v>
      </c>
      <c r="B28" s="20" t="s">
        <v>177</v>
      </c>
      <c r="C28" s="20" t="s">
        <v>178</v>
      </c>
      <c r="D28" s="21">
        <v>1</v>
      </c>
      <c r="E28" s="21">
        <v>4</v>
      </c>
      <c r="F28" s="21">
        <v>4</v>
      </c>
      <c r="G28" s="30" t="s">
        <v>105</v>
      </c>
      <c r="H28" s="20" t="s">
        <v>179</v>
      </c>
      <c r="I28" s="20" t="s">
        <v>150</v>
      </c>
      <c r="J28" s="20"/>
      <c r="K28" s="20" t="s">
        <v>83</v>
      </c>
      <c r="L28" s="20" t="s">
        <v>151</v>
      </c>
    </row>
    <row r="29" spans="1:12" ht="100.8" x14ac:dyDescent="0.3">
      <c r="A29" s="21">
        <v>25</v>
      </c>
      <c r="B29" s="20" t="s">
        <v>180</v>
      </c>
      <c r="C29" s="20" t="s">
        <v>152</v>
      </c>
      <c r="D29" s="21">
        <v>2</v>
      </c>
      <c r="E29" s="21">
        <v>3</v>
      </c>
      <c r="F29" s="21">
        <v>6</v>
      </c>
      <c r="G29" s="30" t="s">
        <v>105</v>
      </c>
      <c r="H29" s="20" t="s">
        <v>181</v>
      </c>
      <c r="I29" s="20" t="s">
        <v>182</v>
      </c>
      <c r="J29" s="20"/>
      <c r="K29" s="20" t="s">
        <v>74</v>
      </c>
      <c r="L29" s="20" t="s">
        <v>136</v>
      </c>
    </row>
  </sheetData>
  <autoFilter ref="A4:L18" xr:uid="{9824E0C7-E8EE-43CB-ABB6-A18F1AB8866C}"/>
  <mergeCells count="1">
    <mergeCell ref="A1:L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ED7D-844D-4D78-9E7F-EE48648704F9}">
  <dimension ref="B3:L20"/>
  <sheetViews>
    <sheetView showGridLines="0" tabSelected="1" workbookViewId="0">
      <selection activeCell="K19" sqref="K19"/>
    </sheetView>
  </sheetViews>
  <sheetFormatPr defaultRowHeight="14.4" x14ac:dyDescent="0.3"/>
  <cols>
    <col min="2" max="2" width="20.77734375" customWidth="1"/>
    <col min="3" max="7" width="12.88671875" customWidth="1"/>
    <col min="8" max="8" width="3.6640625" customWidth="1"/>
    <col min="9" max="9" width="4.33203125" customWidth="1"/>
    <col min="10" max="10" width="17" customWidth="1"/>
    <col min="11" max="11" width="20.44140625" customWidth="1"/>
    <col min="12" max="12" width="59.33203125" customWidth="1"/>
  </cols>
  <sheetData>
    <row r="3" spans="2:12" ht="25.8" customHeight="1" x14ac:dyDescent="0.3">
      <c r="B3" s="86" t="s">
        <v>195</v>
      </c>
      <c r="C3" s="86"/>
      <c r="D3" s="86"/>
      <c r="E3" s="86"/>
      <c r="F3" s="86"/>
      <c r="G3" s="86"/>
    </row>
    <row r="5" spans="2:12" s="31" customFormat="1" ht="22.8" customHeight="1" x14ac:dyDescent="0.3">
      <c r="B5" s="32" t="s">
        <v>188</v>
      </c>
      <c r="C5" s="33" t="s">
        <v>183</v>
      </c>
      <c r="D5" s="33" t="s">
        <v>184</v>
      </c>
      <c r="E5" s="33" t="s">
        <v>185</v>
      </c>
      <c r="F5" s="33" t="s">
        <v>186</v>
      </c>
      <c r="G5" s="33" t="s">
        <v>187</v>
      </c>
      <c r="J5" s="32" t="s">
        <v>197</v>
      </c>
      <c r="K5" s="32" t="s">
        <v>198</v>
      </c>
      <c r="L5" s="32" t="s">
        <v>199</v>
      </c>
    </row>
    <row r="6" spans="2:12" s="31" customFormat="1" ht="22.8" customHeight="1" x14ac:dyDescent="0.3">
      <c r="B6" s="33" t="s">
        <v>183</v>
      </c>
      <c r="C6" s="34">
        <v>1</v>
      </c>
      <c r="D6" s="34">
        <v>2</v>
      </c>
      <c r="E6" s="34">
        <v>3</v>
      </c>
      <c r="F6" s="34">
        <v>4</v>
      </c>
      <c r="G6" s="34">
        <v>5</v>
      </c>
      <c r="J6" s="38" t="s">
        <v>200</v>
      </c>
      <c r="K6" s="39" t="s">
        <v>105</v>
      </c>
      <c r="L6" s="40" t="s">
        <v>205</v>
      </c>
    </row>
    <row r="7" spans="2:12" s="31" customFormat="1" ht="22.8" customHeight="1" x14ac:dyDescent="0.3">
      <c r="B7" s="33" t="s">
        <v>184</v>
      </c>
      <c r="C7" s="34">
        <v>1</v>
      </c>
      <c r="D7" s="34">
        <v>4</v>
      </c>
      <c r="E7" s="34">
        <v>6</v>
      </c>
      <c r="F7" s="35">
        <v>8</v>
      </c>
      <c r="G7" s="35">
        <v>10</v>
      </c>
      <c r="J7" s="38" t="s">
        <v>201</v>
      </c>
      <c r="K7" s="39" t="s">
        <v>63</v>
      </c>
      <c r="L7" s="40" t="s">
        <v>206</v>
      </c>
    </row>
    <row r="8" spans="2:12" s="31" customFormat="1" ht="22.8" customHeight="1" x14ac:dyDescent="0.3">
      <c r="B8" s="33" t="s">
        <v>185</v>
      </c>
      <c r="C8" s="34">
        <v>1</v>
      </c>
      <c r="D8" s="34">
        <v>6</v>
      </c>
      <c r="E8" s="35">
        <v>9</v>
      </c>
      <c r="F8" s="36">
        <v>12</v>
      </c>
      <c r="G8" s="36">
        <v>15</v>
      </c>
      <c r="J8" s="38" t="s">
        <v>202</v>
      </c>
      <c r="K8" s="39" t="s">
        <v>59</v>
      </c>
      <c r="L8" s="40" t="s">
        <v>208</v>
      </c>
    </row>
    <row r="9" spans="2:12" s="31" customFormat="1" ht="22.8" customHeight="1" x14ac:dyDescent="0.3">
      <c r="B9" s="33" t="s">
        <v>186</v>
      </c>
      <c r="C9" s="34">
        <v>1</v>
      </c>
      <c r="D9" s="35">
        <v>8</v>
      </c>
      <c r="E9" s="36">
        <v>12</v>
      </c>
      <c r="F9" s="36">
        <v>16</v>
      </c>
      <c r="G9" s="37">
        <v>20</v>
      </c>
      <c r="J9" s="38" t="s">
        <v>203</v>
      </c>
      <c r="K9" s="39" t="s">
        <v>204</v>
      </c>
      <c r="L9" s="40" t="s">
        <v>207</v>
      </c>
    </row>
    <row r="10" spans="2:12" s="31" customFormat="1" ht="22.8" customHeight="1" x14ac:dyDescent="0.3">
      <c r="B10" s="33" t="s">
        <v>187</v>
      </c>
      <c r="C10" s="34">
        <v>1</v>
      </c>
      <c r="D10" s="35">
        <v>10</v>
      </c>
      <c r="E10" s="36">
        <v>15</v>
      </c>
      <c r="F10" s="37">
        <v>20</v>
      </c>
      <c r="G10" s="37">
        <v>25</v>
      </c>
    </row>
    <row r="13" spans="2:12" ht="28.2" customHeight="1" x14ac:dyDescent="0.3">
      <c r="B13" s="87" t="s">
        <v>196</v>
      </c>
      <c r="C13" s="87"/>
      <c r="D13" s="87"/>
      <c r="E13" s="87"/>
      <c r="F13" s="87"/>
      <c r="G13" s="87"/>
    </row>
    <row r="15" spans="2:12" ht="24.6" customHeight="1" x14ac:dyDescent="0.3">
      <c r="B15" s="32" t="s">
        <v>189</v>
      </c>
      <c r="C15" s="33" t="s">
        <v>190</v>
      </c>
      <c r="D15" s="33" t="s">
        <v>191</v>
      </c>
      <c r="E15" s="33" t="s">
        <v>192</v>
      </c>
      <c r="F15" s="33" t="s">
        <v>193</v>
      </c>
      <c r="G15" s="33" t="s">
        <v>194</v>
      </c>
      <c r="J15" s="32" t="s">
        <v>209</v>
      </c>
      <c r="K15" s="32" t="s">
        <v>210</v>
      </c>
      <c r="L15" s="32" t="s">
        <v>211</v>
      </c>
    </row>
    <row r="16" spans="2:12" ht="24.6" customHeight="1" x14ac:dyDescent="0.3">
      <c r="B16" s="33" t="s">
        <v>190</v>
      </c>
      <c r="C16" s="34">
        <v>1</v>
      </c>
      <c r="D16" s="34">
        <v>2</v>
      </c>
      <c r="E16" s="34">
        <v>3</v>
      </c>
      <c r="F16" s="34">
        <v>4</v>
      </c>
      <c r="G16" s="34">
        <v>5</v>
      </c>
      <c r="J16" s="38" t="s">
        <v>200</v>
      </c>
      <c r="K16" s="39" t="s">
        <v>22</v>
      </c>
      <c r="L16" s="40" t="s">
        <v>213</v>
      </c>
    </row>
    <row r="17" spans="2:12" ht="24.6" customHeight="1" x14ac:dyDescent="0.3">
      <c r="B17" s="33" t="s">
        <v>191</v>
      </c>
      <c r="C17" s="34">
        <v>1</v>
      </c>
      <c r="D17" s="34">
        <v>4</v>
      </c>
      <c r="E17" s="34">
        <v>6</v>
      </c>
      <c r="F17" s="35">
        <v>8</v>
      </c>
      <c r="G17" s="35">
        <v>10</v>
      </c>
      <c r="J17" s="38" t="s">
        <v>201</v>
      </c>
      <c r="K17" s="39" t="s">
        <v>26</v>
      </c>
      <c r="L17" s="40" t="s">
        <v>214</v>
      </c>
    </row>
    <row r="18" spans="2:12" ht="24.6" customHeight="1" x14ac:dyDescent="0.3">
      <c r="B18" s="33" t="s">
        <v>192</v>
      </c>
      <c r="C18" s="34">
        <v>1</v>
      </c>
      <c r="D18" s="34">
        <v>6</v>
      </c>
      <c r="E18" s="35">
        <v>9</v>
      </c>
      <c r="F18" s="36">
        <v>12</v>
      </c>
      <c r="G18" s="36">
        <v>15</v>
      </c>
      <c r="J18" s="38" t="s">
        <v>202</v>
      </c>
      <c r="K18" s="39" t="s">
        <v>29</v>
      </c>
      <c r="L18" s="40" t="s">
        <v>215</v>
      </c>
    </row>
    <row r="19" spans="2:12" ht="24.6" customHeight="1" x14ac:dyDescent="0.3">
      <c r="B19" s="33" t="s">
        <v>193</v>
      </c>
      <c r="C19" s="34">
        <v>1</v>
      </c>
      <c r="D19" s="35">
        <v>8</v>
      </c>
      <c r="E19" s="36">
        <v>12</v>
      </c>
      <c r="F19" s="36">
        <v>16</v>
      </c>
      <c r="G19" s="37">
        <v>20</v>
      </c>
      <c r="J19" s="38" t="s">
        <v>203</v>
      </c>
      <c r="K19" s="39" t="s">
        <v>212</v>
      </c>
      <c r="L19" s="40" t="s">
        <v>216</v>
      </c>
    </row>
    <row r="20" spans="2:12" ht="24.6" customHeight="1" x14ac:dyDescent="0.3">
      <c r="B20" s="33" t="s">
        <v>194</v>
      </c>
      <c r="C20" s="34">
        <v>1</v>
      </c>
      <c r="D20" s="35">
        <v>10</v>
      </c>
      <c r="E20" s="36">
        <v>15</v>
      </c>
      <c r="F20" s="37">
        <v>20</v>
      </c>
      <c r="G20" s="37">
        <v>25</v>
      </c>
    </row>
  </sheetData>
  <mergeCells count="2">
    <mergeCell ref="B3:G3"/>
    <mergeCell ref="B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Rating</vt:lpstr>
      <vt:lpstr>Control</vt:lpstr>
      <vt:lpstr>Risk Assesment EN</vt:lpstr>
      <vt:lpstr>Risk Değerlendirmesi TR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Havva Karataş</dc:creator>
  <cp:lastModifiedBy>ELSAYED AHMED</cp:lastModifiedBy>
  <cp:lastPrinted>2026-03-07T10:56:26Z</cp:lastPrinted>
  <dcterms:created xsi:type="dcterms:W3CDTF">2022-04-11T10:08:02Z</dcterms:created>
  <dcterms:modified xsi:type="dcterms:W3CDTF">2026-09-08T06:25:06Z</dcterms:modified>
</cp:coreProperties>
</file>