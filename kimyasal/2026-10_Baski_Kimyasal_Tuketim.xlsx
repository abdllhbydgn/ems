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PRINTING\PRINTING CONSUPTION\"/>
    </mc:Choice>
  </mc:AlternateContent>
  <xr:revisionPtr revIDLastSave="0" documentId="13_ncr:1_{03E98A04-05A5-46A8-B1C2-1226B56D092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tions التعليمات" sheetId="1" r:id="rId1"/>
    <sheet name="Monthly Consum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P34" i="2" l="1"/>
  <c r="CP36" i="2"/>
  <c r="CP38" i="2"/>
  <c r="CP39" i="2"/>
  <c r="CP40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7" i="2"/>
  <c r="CP98" i="2"/>
  <c r="CP99" i="2"/>
  <c r="CP100" i="2"/>
  <c r="CP101" i="2"/>
  <c r="CP102" i="2"/>
  <c r="CP103" i="2"/>
  <c r="CP104" i="2"/>
  <c r="CP105" i="2"/>
  <c r="CO34" i="2"/>
  <c r="CO36" i="2"/>
  <c r="CO38" i="2"/>
  <c r="CO39" i="2"/>
  <c r="CO40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O89" i="2"/>
  <c r="CO90" i="2"/>
  <c r="CO91" i="2"/>
  <c r="CO92" i="2"/>
  <c r="CO93" i="2"/>
  <c r="CO94" i="2"/>
  <c r="CO95" i="2"/>
  <c r="CO97" i="2"/>
  <c r="CO98" i="2"/>
  <c r="CO99" i="2"/>
  <c r="CO100" i="2"/>
  <c r="CO101" i="2"/>
  <c r="CO102" i="2"/>
  <c r="CO103" i="2"/>
  <c r="CO104" i="2"/>
  <c r="CO105" i="2"/>
  <c r="CN34" i="2"/>
  <c r="CN35" i="2"/>
  <c r="CO35" i="2" s="1"/>
  <c r="CP35" i="2" s="1"/>
  <c r="CN36" i="2"/>
  <c r="CN37" i="2"/>
  <c r="CO37" i="2" s="1"/>
  <c r="CP37" i="2" s="1"/>
  <c r="CN38" i="2"/>
  <c r="CN39" i="2"/>
  <c r="CN40" i="2"/>
  <c r="CN41" i="2"/>
  <c r="CO41" i="2" s="1"/>
  <c r="CP41" i="2" s="1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O75" i="2" s="1"/>
  <c r="CP75" i="2" s="1"/>
  <c r="CN76" i="2"/>
  <c r="CO76" i="2" s="1"/>
  <c r="CP76" i="2" s="1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O96" i="2" s="1"/>
  <c r="CP96" i="2" s="1"/>
  <c r="CN97" i="2"/>
  <c r="CN98" i="2"/>
  <c r="CN99" i="2"/>
  <c r="CN100" i="2"/>
  <c r="CN101" i="2"/>
  <c r="CN102" i="2"/>
  <c r="CN103" i="2"/>
  <c r="CN104" i="2"/>
  <c r="CN105" i="2"/>
  <c r="BN106" i="2"/>
  <c r="CJ34" i="2"/>
  <c r="CJ36" i="2"/>
  <c r="CJ39" i="2"/>
  <c r="CJ40" i="2"/>
  <c r="CJ42" i="2"/>
  <c r="CJ43" i="2"/>
  <c r="CJ44" i="2"/>
  <c r="CJ45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7" i="2"/>
  <c r="CJ78" i="2"/>
  <c r="CJ79" i="2"/>
  <c r="CJ80" i="2"/>
  <c r="CJ81" i="2"/>
  <c r="CJ83" i="2"/>
  <c r="CJ84" i="2"/>
  <c r="CJ85" i="2"/>
  <c r="CJ86" i="2"/>
  <c r="CJ87" i="2"/>
  <c r="CJ88" i="2"/>
  <c r="CJ89" i="2"/>
  <c r="CJ90" i="2"/>
  <c r="CJ91" i="2"/>
  <c r="CJ92" i="2"/>
  <c r="CJ93" i="2"/>
  <c r="CJ99" i="2"/>
  <c r="CJ100" i="2"/>
  <c r="CJ101" i="2"/>
  <c r="CJ102" i="2"/>
  <c r="CJ103" i="2"/>
  <c r="CJ104" i="2"/>
  <c r="CJ105" i="2"/>
  <c r="CI34" i="2"/>
  <c r="CI36" i="2"/>
  <c r="CI39" i="2"/>
  <c r="CI40" i="2"/>
  <c r="CI42" i="2"/>
  <c r="CI43" i="2"/>
  <c r="CI44" i="2"/>
  <c r="CI45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7" i="2"/>
  <c r="CI78" i="2"/>
  <c r="CI79" i="2"/>
  <c r="CI80" i="2"/>
  <c r="CI81" i="2"/>
  <c r="CI83" i="2"/>
  <c r="CI84" i="2"/>
  <c r="CI85" i="2"/>
  <c r="CI86" i="2"/>
  <c r="CI87" i="2"/>
  <c r="CI88" i="2"/>
  <c r="CI89" i="2"/>
  <c r="CI90" i="2"/>
  <c r="CI91" i="2"/>
  <c r="CI92" i="2"/>
  <c r="CI93" i="2"/>
  <c r="CI99" i="2"/>
  <c r="CI100" i="2"/>
  <c r="CI101" i="2"/>
  <c r="CI102" i="2"/>
  <c r="CI103" i="2"/>
  <c r="CI104" i="2"/>
  <c r="CI105" i="2"/>
  <c r="CH34" i="2"/>
  <c r="CH35" i="2"/>
  <c r="CH36" i="2"/>
  <c r="CH37" i="2"/>
  <c r="CH38" i="2"/>
  <c r="CH39" i="2"/>
  <c r="CH40" i="2"/>
  <c r="CH41" i="2"/>
  <c r="CI41" i="2" s="1"/>
  <c r="CJ41" i="2" s="1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D34" i="2"/>
  <c r="CD36" i="2"/>
  <c r="CD39" i="2"/>
  <c r="CD40" i="2"/>
  <c r="CD41" i="2"/>
  <c r="CD42" i="2"/>
  <c r="CD43" i="2"/>
  <c r="CD44" i="2"/>
  <c r="CD45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7" i="2"/>
  <c r="CD78" i="2"/>
  <c r="CD79" i="2"/>
  <c r="CD80" i="2"/>
  <c r="CD81" i="2"/>
  <c r="CD83" i="2"/>
  <c r="CD84" i="2"/>
  <c r="CD85" i="2"/>
  <c r="CD86" i="2"/>
  <c r="CD87" i="2"/>
  <c r="CD88" i="2"/>
  <c r="CD89" i="2"/>
  <c r="CD90" i="2"/>
  <c r="CD91" i="2"/>
  <c r="CD92" i="2"/>
  <c r="CD93" i="2"/>
  <c r="CD99" i="2"/>
  <c r="CD100" i="2"/>
  <c r="CD101" i="2"/>
  <c r="CD102" i="2"/>
  <c r="CD103" i="2"/>
  <c r="CD104" i="2"/>
  <c r="CD105" i="2"/>
  <c r="CC34" i="2"/>
  <c r="CC36" i="2"/>
  <c r="CC39" i="2"/>
  <c r="CC40" i="2"/>
  <c r="CC41" i="2"/>
  <c r="CC42" i="2"/>
  <c r="CC43" i="2"/>
  <c r="CC44" i="2"/>
  <c r="CC45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7" i="2"/>
  <c r="CC78" i="2"/>
  <c r="CC79" i="2"/>
  <c r="CC80" i="2"/>
  <c r="CC81" i="2"/>
  <c r="CC83" i="2"/>
  <c r="CC84" i="2"/>
  <c r="CC85" i="2"/>
  <c r="CC86" i="2"/>
  <c r="CC87" i="2"/>
  <c r="CC88" i="2"/>
  <c r="CC89" i="2"/>
  <c r="CC90" i="2"/>
  <c r="CC91" i="2"/>
  <c r="CC92" i="2"/>
  <c r="CC93" i="2"/>
  <c r="CC99" i="2"/>
  <c r="CC100" i="2"/>
  <c r="CC101" i="2"/>
  <c r="CC102" i="2"/>
  <c r="CC103" i="2"/>
  <c r="CC104" i="2"/>
  <c r="CC105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C94" i="2" s="1"/>
  <c r="CD94" i="2" s="1"/>
  <c r="CI94" i="2" s="1"/>
  <c r="CJ94" i="2" s="1"/>
  <c r="CB95" i="2"/>
  <c r="CC95" i="2" s="1"/>
  <c r="CD95" i="2" s="1"/>
  <c r="CI95" i="2" s="1"/>
  <c r="CJ95" i="2" s="1"/>
  <c r="CB96" i="2"/>
  <c r="CB97" i="2"/>
  <c r="CB98" i="2"/>
  <c r="CB99" i="2"/>
  <c r="CB100" i="2"/>
  <c r="CB101" i="2"/>
  <c r="CB102" i="2"/>
  <c r="CB103" i="2"/>
  <c r="CB104" i="2"/>
  <c r="CB105" i="2"/>
  <c r="BX34" i="2"/>
  <c r="BX36" i="2"/>
  <c r="BX39" i="2"/>
  <c r="BX40" i="2"/>
  <c r="BX41" i="2"/>
  <c r="BX42" i="2"/>
  <c r="BX43" i="2"/>
  <c r="BX44" i="2"/>
  <c r="BX45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7" i="2"/>
  <c r="BX78" i="2"/>
  <c r="BX79" i="2"/>
  <c r="BX80" i="2"/>
  <c r="BX81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9" i="2"/>
  <c r="BX100" i="2"/>
  <c r="BX101" i="2"/>
  <c r="BX102" i="2"/>
  <c r="BX103" i="2"/>
  <c r="BX104" i="2"/>
  <c r="BX105" i="2"/>
  <c r="BW34" i="2"/>
  <c r="BW36" i="2"/>
  <c r="BW39" i="2"/>
  <c r="BW40" i="2"/>
  <c r="BW41" i="2"/>
  <c r="BW42" i="2"/>
  <c r="BW43" i="2"/>
  <c r="BW44" i="2"/>
  <c r="BW45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7" i="2"/>
  <c r="BW78" i="2"/>
  <c r="BW79" i="2"/>
  <c r="BW80" i="2"/>
  <c r="BW81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9" i="2"/>
  <c r="BW100" i="2"/>
  <c r="BW101" i="2"/>
  <c r="BW102" i="2"/>
  <c r="BW103" i="2"/>
  <c r="BW104" i="2"/>
  <c r="BW105" i="2"/>
  <c r="BV34" i="2"/>
  <c r="BV35" i="2"/>
  <c r="BV36" i="2"/>
  <c r="BV37" i="2"/>
  <c r="BV38" i="2"/>
  <c r="BW38" i="2" s="1"/>
  <c r="BX38" i="2" s="1"/>
  <c r="CC38" i="2" s="1"/>
  <c r="CD38" i="2" s="1"/>
  <c r="CI38" i="2" s="1"/>
  <c r="CJ38" i="2" s="1"/>
  <c r="BV39" i="2"/>
  <c r="BV40" i="2"/>
  <c r="BV41" i="2"/>
  <c r="BV42" i="2"/>
  <c r="BV43" i="2"/>
  <c r="BV44" i="2"/>
  <c r="BV45" i="2"/>
  <c r="BV46" i="2"/>
  <c r="BW46" i="2" s="1"/>
  <c r="BX46" i="2" s="1"/>
  <c r="CC46" i="2" s="1"/>
  <c r="CD46" i="2" s="1"/>
  <c r="CI46" i="2" s="1"/>
  <c r="CJ46" i="2" s="1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W97" i="2" s="1"/>
  <c r="BX97" i="2" s="1"/>
  <c r="CC97" i="2" s="1"/>
  <c r="CD97" i="2" s="1"/>
  <c r="CI97" i="2" s="1"/>
  <c r="CJ97" i="2" s="1"/>
  <c r="BV98" i="2"/>
  <c r="BW98" i="2" s="1"/>
  <c r="BX98" i="2" s="1"/>
  <c r="CC98" i="2" s="1"/>
  <c r="CD98" i="2" s="1"/>
  <c r="CI98" i="2" s="1"/>
  <c r="CJ98" i="2" s="1"/>
  <c r="BV99" i="2"/>
  <c r="BV100" i="2"/>
  <c r="BV101" i="2"/>
  <c r="BV102" i="2"/>
  <c r="BV103" i="2"/>
  <c r="BV104" i="2"/>
  <c r="BV105" i="2"/>
  <c r="BR34" i="2"/>
  <c r="BR36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7" i="2"/>
  <c r="BR78" i="2"/>
  <c r="BR79" i="2"/>
  <c r="BR80" i="2"/>
  <c r="BR81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7" i="2"/>
  <c r="BR98" i="2"/>
  <c r="BR99" i="2"/>
  <c r="BR100" i="2"/>
  <c r="BR101" i="2"/>
  <c r="BR102" i="2"/>
  <c r="BR103" i="2"/>
  <c r="BR104" i="2"/>
  <c r="BR105" i="2"/>
  <c r="BQ34" i="2"/>
  <c r="BQ36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7" i="2"/>
  <c r="BQ78" i="2"/>
  <c r="BQ79" i="2"/>
  <c r="BQ80" i="2"/>
  <c r="BQ81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7" i="2"/>
  <c r="BQ98" i="2"/>
  <c r="BQ99" i="2"/>
  <c r="BQ100" i="2"/>
  <c r="BQ101" i="2"/>
  <c r="BQ102" i="2"/>
  <c r="BQ103" i="2"/>
  <c r="BQ104" i="2"/>
  <c r="BQ105" i="2"/>
  <c r="BP34" i="2"/>
  <c r="BP35" i="2"/>
  <c r="BQ35" i="2" s="1"/>
  <c r="BR35" i="2" s="1"/>
  <c r="BW35" i="2" s="1"/>
  <c r="BX35" i="2" s="1"/>
  <c r="BP36" i="2"/>
  <c r="BP37" i="2"/>
  <c r="BQ37" i="2" s="1"/>
  <c r="BR37" i="2" s="1"/>
  <c r="BW37" i="2" s="1"/>
  <c r="BX37" i="2" s="1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Q76" i="2" s="1"/>
  <c r="BR76" i="2" s="1"/>
  <c r="BP77" i="2"/>
  <c r="BP78" i="2"/>
  <c r="BP79" i="2"/>
  <c r="BP80" i="2"/>
  <c r="BP81" i="2"/>
  <c r="BP82" i="2"/>
  <c r="BQ82" i="2" s="1"/>
  <c r="BR82" i="2" s="1"/>
  <c r="BW82" i="2" s="1"/>
  <c r="BX82" i="2" s="1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Q96" i="2" s="1"/>
  <c r="BR96" i="2" s="1"/>
  <c r="BW96" i="2" s="1"/>
  <c r="BX96" i="2" s="1"/>
  <c r="CC96" i="2" s="1"/>
  <c r="CD96" i="2" s="1"/>
  <c r="CI96" i="2" s="1"/>
  <c r="CJ96" i="2" s="1"/>
  <c r="BP97" i="2"/>
  <c r="BP98" i="2"/>
  <c r="BP99" i="2"/>
  <c r="BP100" i="2"/>
  <c r="BP101" i="2"/>
  <c r="BP102" i="2"/>
  <c r="BP103" i="2"/>
  <c r="BP104" i="2"/>
  <c r="BP105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J106" i="2"/>
  <c r="K106" i="2"/>
  <c r="L106" i="2"/>
  <c r="M106" i="2"/>
  <c r="N106" i="2"/>
  <c r="O106" i="2"/>
  <c r="P106" i="2"/>
  <c r="Q106" i="2"/>
  <c r="R106" i="2"/>
  <c r="S106" i="2"/>
  <c r="I106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O18" i="2"/>
  <c r="O19" i="2"/>
  <c r="O20" i="2"/>
  <c r="P20" i="2" s="1"/>
  <c r="U20" i="2" s="1"/>
  <c r="V20" i="2" s="1"/>
  <c r="O21" i="2"/>
  <c r="P21" i="2" s="1"/>
  <c r="U21" i="2" s="1"/>
  <c r="V21" i="2" s="1"/>
  <c r="O22" i="2"/>
  <c r="P22" i="2" s="1"/>
  <c r="U22" i="2" s="1"/>
  <c r="V22" i="2" s="1"/>
  <c r="O23" i="2"/>
  <c r="P23" i="2" s="1"/>
  <c r="U23" i="2" s="1"/>
  <c r="V23" i="2" s="1"/>
  <c r="O24" i="2"/>
  <c r="P24" i="2" s="1"/>
  <c r="U24" i="2" s="1"/>
  <c r="V24" i="2" s="1"/>
  <c r="O25" i="2"/>
  <c r="P25" i="2" s="1"/>
  <c r="U25" i="2" s="1"/>
  <c r="V25" i="2" s="1"/>
  <c r="O26" i="2"/>
  <c r="P26" i="2" s="1"/>
  <c r="U26" i="2" s="1"/>
  <c r="V26" i="2" s="1"/>
  <c r="O27" i="2"/>
  <c r="P27" i="2" s="1"/>
  <c r="U27" i="2" s="1"/>
  <c r="V27" i="2" s="1"/>
  <c r="O28" i="2"/>
  <c r="O29" i="2"/>
  <c r="P29" i="2" s="1"/>
  <c r="U29" i="2" s="1"/>
  <c r="V29" i="2" s="1"/>
  <c r="O30" i="2"/>
  <c r="P30" i="2" s="1"/>
  <c r="U30" i="2" s="1"/>
  <c r="V30" i="2" s="1"/>
  <c r="O31" i="2"/>
  <c r="P31" i="2" s="1"/>
  <c r="U31" i="2" s="1"/>
  <c r="V31" i="2" s="1"/>
  <c r="O32" i="2"/>
  <c r="P32" i="2" s="1"/>
  <c r="U32" i="2" s="1"/>
  <c r="V32" i="2" s="1"/>
  <c r="O33" i="2"/>
  <c r="P33" i="2" s="1"/>
  <c r="U33" i="2" s="1"/>
  <c r="V33" i="2" s="1"/>
  <c r="O87" i="2"/>
  <c r="O88" i="2"/>
  <c r="O89" i="2"/>
  <c r="O90" i="2"/>
  <c r="O91" i="2"/>
  <c r="O92" i="2"/>
  <c r="O93" i="2"/>
  <c r="O94" i="2"/>
  <c r="O95" i="2"/>
  <c r="P95" i="2" s="1"/>
  <c r="U95" i="2" s="1"/>
  <c r="V95" i="2" s="1"/>
  <c r="AA95" i="2" s="1"/>
  <c r="AB95" i="2" s="1"/>
  <c r="AG95" i="2" s="1"/>
  <c r="AH95" i="2" s="1"/>
  <c r="O96" i="2"/>
  <c r="O97" i="2"/>
  <c r="O98" i="2"/>
  <c r="O99" i="2"/>
  <c r="O100" i="2"/>
  <c r="O101" i="2"/>
  <c r="O102" i="2"/>
  <c r="O103" i="2"/>
  <c r="O104" i="2"/>
  <c r="O105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W106" i="2"/>
  <c r="X106" i="2"/>
  <c r="Y106" i="2"/>
  <c r="AC106" i="2"/>
  <c r="AD106" i="2"/>
  <c r="AE106" i="2"/>
  <c r="AI106" i="2"/>
  <c r="AJ106" i="2"/>
  <c r="AK106" i="2"/>
  <c r="AO106" i="2"/>
  <c r="AP106" i="2"/>
  <c r="AQ106" i="2"/>
  <c r="AU106" i="2"/>
  <c r="AV106" i="2"/>
  <c r="AW106" i="2"/>
  <c r="BA106" i="2"/>
  <c r="BB106" i="2"/>
  <c r="BC106" i="2"/>
  <c r="BG106" i="2"/>
  <c r="BH106" i="2"/>
  <c r="BI106" i="2"/>
  <c r="BM106" i="2"/>
  <c r="BO106" i="2"/>
  <c r="BS106" i="2"/>
  <c r="BT106" i="2"/>
  <c r="BU106" i="2"/>
  <c r="BY106" i="2"/>
  <c r="BZ106" i="2"/>
  <c r="CA106" i="2"/>
  <c r="CE106" i="2"/>
  <c r="CF106" i="2"/>
  <c r="CG106" i="2"/>
  <c r="CK106" i="2"/>
  <c r="CL106" i="2"/>
  <c r="CM106" i="2"/>
  <c r="CQ106" i="2"/>
  <c r="CR106" i="2"/>
  <c r="CS106" i="2"/>
  <c r="CW106" i="2"/>
  <c r="CX106" i="2"/>
  <c r="CY106" i="2"/>
  <c r="DC106" i="2"/>
  <c r="DD106" i="2"/>
  <c r="DE106" i="2"/>
  <c r="DI106" i="2"/>
  <c r="DJ106" i="2"/>
  <c r="DK106" i="2"/>
  <c r="DO106" i="2"/>
  <c r="DP106" i="2"/>
  <c r="DQ106" i="2"/>
  <c r="DU106" i="2"/>
  <c r="DV106" i="2"/>
  <c r="DW106" i="2"/>
  <c r="EA106" i="2"/>
  <c r="EB106" i="2"/>
  <c r="EC106" i="2"/>
  <c r="EG106" i="2"/>
  <c r="EH106" i="2"/>
  <c r="EI106" i="2"/>
  <c r="EM106" i="2"/>
  <c r="EN106" i="2"/>
  <c r="EO106" i="2"/>
  <c r="ES106" i="2"/>
  <c r="ET106" i="2"/>
  <c r="EU106" i="2"/>
  <c r="EY106" i="2"/>
  <c r="EZ106" i="2"/>
  <c r="FA106" i="2"/>
  <c r="FE106" i="2"/>
  <c r="FF106" i="2"/>
  <c r="FG106" i="2"/>
  <c r="FK106" i="2"/>
  <c r="FL106" i="2"/>
  <c r="FM106" i="2"/>
  <c r="FQ106" i="2"/>
  <c r="FR106" i="2"/>
  <c r="FS106" i="2"/>
  <c r="FW106" i="2"/>
  <c r="FX106" i="2"/>
  <c r="FY106" i="2"/>
  <c r="GC106" i="2"/>
  <c r="GD106" i="2"/>
  <c r="GE106" i="2"/>
  <c r="GI106" i="2"/>
  <c r="GJ106" i="2"/>
  <c r="GK106" i="2"/>
  <c r="P19" i="2"/>
  <c r="U19" i="2" s="1"/>
  <c r="V19" i="2" s="1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N34" i="2"/>
  <c r="O34" i="2" s="1"/>
  <c r="P34" i="2" s="1"/>
  <c r="U34" i="2" s="1"/>
  <c r="V34" i="2" s="1"/>
  <c r="AA34" i="2" s="1"/>
  <c r="AB34" i="2" s="1"/>
  <c r="N35" i="2"/>
  <c r="O35" i="2" s="1"/>
  <c r="P35" i="2" s="1"/>
  <c r="U35" i="2" s="1"/>
  <c r="V35" i="2" s="1"/>
  <c r="AA35" i="2" s="1"/>
  <c r="AB35" i="2" s="1"/>
  <c r="N36" i="2"/>
  <c r="O36" i="2" s="1"/>
  <c r="P36" i="2" s="1"/>
  <c r="U36" i="2" s="1"/>
  <c r="V36" i="2" s="1"/>
  <c r="N37" i="2"/>
  <c r="O37" i="2" s="1"/>
  <c r="P37" i="2" s="1"/>
  <c r="U37" i="2" s="1"/>
  <c r="V37" i="2" s="1"/>
  <c r="N38" i="2"/>
  <c r="O38" i="2" s="1"/>
  <c r="P38" i="2" s="1"/>
  <c r="U38" i="2" s="1"/>
  <c r="V38" i="2" s="1"/>
  <c r="N39" i="2"/>
  <c r="O39" i="2" s="1"/>
  <c r="P39" i="2" s="1"/>
  <c r="U39" i="2" s="1"/>
  <c r="V39" i="2" s="1"/>
  <c r="N40" i="2"/>
  <c r="O40" i="2" s="1"/>
  <c r="P40" i="2" s="1"/>
  <c r="U40" i="2" s="1"/>
  <c r="V40" i="2" s="1"/>
  <c r="N41" i="2"/>
  <c r="O41" i="2" s="1"/>
  <c r="P41" i="2" s="1"/>
  <c r="U41" i="2" s="1"/>
  <c r="V41" i="2" s="1"/>
  <c r="N42" i="2"/>
  <c r="O42" i="2" s="1"/>
  <c r="P42" i="2" s="1"/>
  <c r="U42" i="2" s="1"/>
  <c r="V42" i="2" s="1"/>
  <c r="N43" i="2"/>
  <c r="O43" i="2" s="1"/>
  <c r="P43" i="2" s="1"/>
  <c r="U43" i="2" s="1"/>
  <c r="V43" i="2" s="1"/>
  <c r="N44" i="2"/>
  <c r="O44" i="2" s="1"/>
  <c r="P44" i="2" s="1"/>
  <c r="U44" i="2" s="1"/>
  <c r="V44" i="2" s="1"/>
  <c r="N45" i="2"/>
  <c r="O45" i="2" s="1"/>
  <c r="P45" i="2" s="1"/>
  <c r="U45" i="2" s="1"/>
  <c r="V45" i="2" s="1"/>
  <c r="N46" i="2"/>
  <c r="O46" i="2" s="1"/>
  <c r="P46" i="2" s="1"/>
  <c r="U46" i="2" s="1"/>
  <c r="V46" i="2" s="1"/>
  <c r="N47" i="2"/>
  <c r="O47" i="2" s="1"/>
  <c r="P47" i="2" s="1"/>
  <c r="U47" i="2" s="1"/>
  <c r="V47" i="2" s="1"/>
  <c r="N48" i="2"/>
  <c r="O48" i="2" s="1"/>
  <c r="P48" i="2" s="1"/>
  <c r="U48" i="2" s="1"/>
  <c r="V48" i="2" s="1"/>
  <c r="N49" i="2"/>
  <c r="O49" i="2" s="1"/>
  <c r="P49" i="2" s="1"/>
  <c r="U49" i="2" s="1"/>
  <c r="V49" i="2" s="1"/>
  <c r="N50" i="2"/>
  <c r="O50" i="2" s="1"/>
  <c r="P50" i="2" s="1"/>
  <c r="U50" i="2" s="1"/>
  <c r="V50" i="2" s="1"/>
  <c r="AA50" i="2" s="1"/>
  <c r="AB50" i="2" s="1"/>
  <c r="N51" i="2"/>
  <c r="O51" i="2" s="1"/>
  <c r="P51" i="2" s="1"/>
  <c r="U51" i="2" s="1"/>
  <c r="V51" i="2" s="1"/>
  <c r="AA51" i="2" s="1"/>
  <c r="AB51" i="2" s="1"/>
  <c r="N52" i="2"/>
  <c r="O52" i="2" s="1"/>
  <c r="P52" i="2" s="1"/>
  <c r="U52" i="2" s="1"/>
  <c r="V52" i="2" s="1"/>
  <c r="AA52" i="2" s="1"/>
  <c r="AB52" i="2" s="1"/>
  <c r="N53" i="2"/>
  <c r="O53" i="2" s="1"/>
  <c r="P53" i="2" s="1"/>
  <c r="U53" i="2" s="1"/>
  <c r="V53" i="2" s="1"/>
  <c r="AA53" i="2" s="1"/>
  <c r="AB53" i="2" s="1"/>
  <c r="N54" i="2"/>
  <c r="O54" i="2" s="1"/>
  <c r="P54" i="2" s="1"/>
  <c r="U54" i="2" s="1"/>
  <c r="V54" i="2" s="1"/>
  <c r="AA54" i="2" s="1"/>
  <c r="AB54" i="2" s="1"/>
  <c r="N55" i="2"/>
  <c r="O55" i="2" s="1"/>
  <c r="P55" i="2" s="1"/>
  <c r="U55" i="2" s="1"/>
  <c r="V55" i="2" s="1"/>
  <c r="AA55" i="2" s="1"/>
  <c r="AB55" i="2" s="1"/>
  <c r="N56" i="2"/>
  <c r="O56" i="2" s="1"/>
  <c r="P56" i="2" s="1"/>
  <c r="U56" i="2" s="1"/>
  <c r="V56" i="2" s="1"/>
  <c r="AA56" i="2" s="1"/>
  <c r="AB56" i="2" s="1"/>
  <c r="N57" i="2"/>
  <c r="O57" i="2" s="1"/>
  <c r="P57" i="2" s="1"/>
  <c r="U57" i="2" s="1"/>
  <c r="V57" i="2" s="1"/>
  <c r="AA57" i="2" s="1"/>
  <c r="AB57" i="2" s="1"/>
  <c r="N58" i="2"/>
  <c r="O58" i="2" s="1"/>
  <c r="P58" i="2" s="1"/>
  <c r="U58" i="2" s="1"/>
  <c r="V58" i="2" s="1"/>
  <c r="AA58" i="2" s="1"/>
  <c r="AB58" i="2" s="1"/>
  <c r="N59" i="2"/>
  <c r="O59" i="2" s="1"/>
  <c r="P59" i="2" s="1"/>
  <c r="U59" i="2" s="1"/>
  <c r="V59" i="2" s="1"/>
  <c r="AA59" i="2" s="1"/>
  <c r="AB59" i="2" s="1"/>
  <c r="N60" i="2"/>
  <c r="O60" i="2" s="1"/>
  <c r="P60" i="2" s="1"/>
  <c r="U60" i="2" s="1"/>
  <c r="V60" i="2" s="1"/>
  <c r="AA60" i="2" s="1"/>
  <c r="AB60" i="2" s="1"/>
  <c r="N61" i="2"/>
  <c r="O61" i="2" s="1"/>
  <c r="P61" i="2" s="1"/>
  <c r="U61" i="2" s="1"/>
  <c r="V61" i="2" s="1"/>
  <c r="AA61" i="2" s="1"/>
  <c r="AB61" i="2" s="1"/>
  <c r="N62" i="2"/>
  <c r="O62" i="2" s="1"/>
  <c r="P62" i="2" s="1"/>
  <c r="U62" i="2" s="1"/>
  <c r="V62" i="2" s="1"/>
  <c r="AA62" i="2" s="1"/>
  <c r="AB62" i="2" s="1"/>
  <c r="N63" i="2"/>
  <c r="O63" i="2" s="1"/>
  <c r="P63" i="2" s="1"/>
  <c r="U63" i="2" s="1"/>
  <c r="V63" i="2" s="1"/>
  <c r="N64" i="2"/>
  <c r="O64" i="2" s="1"/>
  <c r="P64" i="2" s="1"/>
  <c r="U64" i="2" s="1"/>
  <c r="V64" i="2" s="1"/>
  <c r="N65" i="2"/>
  <c r="O65" i="2" s="1"/>
  <c r="P65" i="2" s="1"/>
  <c r="U65" i="2" s="1"/>
  <c r="V65" i="2" s="1"/>
  <c r="N66" i="2"/>
  <c r="O66" i="2" s="1"/>
  <c r="P66" i="2" s="1"/>
  <c r="U66" i="2" s="1"/>
  <c r="V66" i="2" s="1"/>
  <c r="N67" i="2"/>
  <c r="O67" i="2" s="1"/>
  <c r="P67" i="2" s="1"/>
  <c r="U67" i="2" s="1"/>
  <c r="V67" i="2" s="1"/>
  <c r="AA67" i="2" s="1"/>
  <c r="AB67" i="2" s="1"/>
  <c r="N68" i="2"/>
  <c r="O68" i="2" s="1"/>
  <c r="P68" i="2" s="1"/>
  <c r="U68" i="2" s="1"/>
  <c r="V68" i="2" s="1"/>
  <c r="N69" i="2"/>
  <c r="O69" i="2" s="1"/>
  <c r="P69" i="2" s="1"/>
  <c r="U69" i="2" s="1"/>
  <c r="V69" i="2" s="1"/>
  <c r="N70" i="2"/>
  <c r="O70" i="2" s="1"/>
  <c r="P70" i="2" s="1"/>
  <c r="U70" i="2" s="1"/>
  <c r="V70" i="2" s="1"/>
  <c r="N71" i="2"/>
  <c r="O71" i="2" s="1"/>
  <c r="P71" i="2" s="1"/>
  <c r="U71" i="2" s="1"/>
  <c r="V71" i="2" s="1"/>
  <c r="N72" i="2"/>
  <c r="O72" i="2" s="1"/>
  <c r="P72" i="2" s="1"/>
  <c r="U72" i="2" s="1"/>
  <c r="V72" i="2" s="1"/>
  <c r="N73" i="2"/>
  <c r="O73" i="2" s="1"/>
  <c r="P73" i="2" s="1"/>
  <c r="U73" i="2" s="1"/>
  <c r="V73" i="2" s="1"/>
  <c r="N74" i="2"/>
  <c r="O74" i="2" s="1"/>
  <c r="P74" i="2" s="1"/>
  <c r="U74" i="2" s="1"/>
  <c r="V74" i="2" s="1"/>
  <c r="N75" i="2"/>
  <c r="O75" i="2" s="1"/>
  <c r="P75" i="2" s="1"/>
  <c r="U75" i="2" s="1"/>
  <c r="V75" i="2" s="1"/>
  <c r="AA75" i="2" s="1"/>
  <c r="AB75" i="2" s="1"/>
  <c r="N76" i="2"/>
  <c r="O76" i="2" s="1"/>
  <c r="N77" i="2"/>
  <c r="O77" i="2" s="1"/>
  <c r="P77" i="2" s="1"/>
  <c r="U77" i="2" s="1"/>
  <c r="V77" i="2" s="1"/>
  <c r="N78" i="2"/>
  <c r="O78" i="2" s="1"/>
  <c r="P78" i="2" s="1"/>
  <c r="U78" i="2" s="1"/>
  <c r="V78" i="2" s="1"/>
  <c r="N79" i="2"/>
  <c r="O79" i="2" s="1"/>
  <c r="P79" i="2" s="1"/>
  <c r="U79" i="2" s="1"/>
  <c r="V79" i="2" s="1"/>
  <c r="N80" i="2"/>
  <c r="O80" i="2" s="1"/>
  <c r="P80" i="2" s="1"/>
  <c r="U80" i="2" s="1"/>
  <c r="V80" i="2" s="1"/>
  <c r="N81" i="2"/>
  <c r="O81" i="2" s="1"/>
  <c r="P81" i="2" s="1"/>
  <c r="U81" i="2" s="1"/>
  <c r="V81" i="2" s="1"/>
  <c r="N82" i="2"/>
  <c r="O82" i="2" s="1"/>
  <c r="P82" i="2" s="1"/>
  <c r="U82" i="2" s="1"/>
  <c r="V82" i="2" s="1"/>
  <c r="N83" i="2"/>
  <c r="O83" i="2" s="1"/>
  <c r="P83" i="2" s="1"/>
  <c r="U83" i="2" s="1"/>
  <c r="V83" i="2" s="1"/>
  <c r="N84" i="2"/>
  <c r="O84" i="2" s="1"/>
  <c r="P84" i="2" s="1"/>
  <c r="U84" i="2" s="1"/>
  <c r="V84" i="2" s="1"/>
  <c r="N85" i="2"/>
  <c r="O85" i="2" s="1"/>
  <c r="P85" i="2" s="1"/>
  <c r="U85" i="2" s="1"/>
  <c r="V85" i="2" s="1"/>
  <c r="N86" i="2"/>
  <c r="O86" i="2" s="1"/>
  <c r="P86" i="2" s="1"/>
  <c r="U86" i="2" s="1"/>
  <c r="V86" i="2" s="1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GP33" i="2"/>
  <c r="GO33" i="2"/>
  <c r="GN33" i="2"/>
  <c r="GL33" i="2"/>
  <c r="GF33" i="2"/>
  <c r="FZ33" i="2"/>
  <c r="FT33" i="2"/>
  <c r="FN33" i="2"/>
  <c r="FH33" i="2"/>
  <c r="FB33" i="2"/>
  <c r="EV33" i="2"/>
  <c r="EP33" i="2"/>
  <c r="EJ33" i="2"/>
  <c r="ED33" i="2"/>
  <c r="DX33" i="2"/>
  <c r="DR33" i="2"/>
  <c r="DL33" i="2"/>
  <c r="DF33" i="2"/>
  <c r="CZ33" i="2"/>
  <c r="CT33" i="2"/>
  <c r="CN33" i="2"/>
  <c r="CH33" i="2"/>
  <c r="CB33" i="2"/>
  <c r="BV33" i="2"/>
  <c r="BP33" i="2"/>
  <c r="BJ33" i="2"/>
  <c r="BD33" i="2"/>
  <c r="AX33" i="2"/>
  <c r="AR33" i="2"/>
  <c r="AL33" i="2"/>
  <c r="AF33" i="2"/>
  <c r="Z33" i="2"/>
  <c r="T33" i="2"/>
  <c r="N33" i="2"/>
  <c r="GQ33" i="2" s="1"/>
  <c r="GP32" i="2"/>
  <c r="GO32" i="2"/>
  <c r="GN32" i="2"/>
  <c r="GL32" i="2"/>
  <c r="GF32" i="2"/>
  <c r="FZ32" i="2"/>
  <c r="FT32" i="2"/>
  <c r="FN32" i="2"/>
  <c r="FH32" i="2"/>
  <c r="FB32" i="2"/>
  <c r="EV32" i="2"/>
  <c r="EP32" i="2"/>
  <c r="EJ32" i="2"/>
  <c r="ED32" i="2"/>
  <c r="DX32" i="2"/>
  <c r="DR32" i="2"/>
  <c r="DL32" i="2"/>
  <c r="DF32" i="2"/>
  <c r="CZ32" i="2"/>
  <c r="CT32" i="2"/>
  <c r="CN32" i="2"/>
  <c r="CH32" i="2"/>
  <c r="CB32" i="2"/>
  <c r="BV32" i="2"/>
  <c r="BP32" i="2"/>
  <c r="BJ32" i="2"/>
  <c r="BD32" i="2"/>
  <c r="AX32" i="2"/>
  <c r="AR32" i="2"/>
  <c r="AL32" i="2"/>
  <c r="AF32" i="2"/>
  <c r="Z32" i="2"/>
  <c r="T32" i="2"/>
  <c r="N32" i="2"/>
  <c r="GP31" i="2"/>
  <c r="GO31" i="2"/>
  <c r="GN31" i="2"/>
  <c r="GL31" i="2"/>
  <c r="GF31" i="2"/>
  <c r="FZ31" i="2"/>
  <c r="FT31" i="2"/>
  <c r="FN31" i="2"/>
  <c r="FH31" i="2"/>
  <c r="FB31" i="2"/>
  <c r="EV31" i="2"/>
  <c r="EP31" i="2"/>
  <c r="EJ31" i="2"/>
  <c r="ED31" i="2"/>
  <c r="DX31" i="2"/>
  <c r="DR31" i="2"/>
  <c r="DL31" i="2"/>
  <c r="DF31" i="2"/>
  <c r="CZ31" i="2"/>
  <c r="CT31" i="2"/>
  <c r="CN31" i="2"/>
  <c r="CH31" i="2"/>
  <c r="CB31" i="2"/>
  <c r="BV31" i="2"/>
  <c r="BP31" i="2"/>
  <c r="BJ31" i="2"/>
  <c r="BD31" i="2"/>
  <c r="AX31" i="2"/>
  <c r="AR31" i="2"/>
  <c r="AL31" i="2"/>
  <c r="AF31" i="2"/>
  <c r="Z31" i="2"/>
  <c r="T31" i="2"/>
  <c r="N31" i="2"/>
  <c r="GQ31" i="2" s="1"/>
  <c r="GP30" i="2"/>
  <c r="GO30" i="2"/>
  <c r="GN30" i="2"/>
  <c r="GL30" i="2"/>
  <c r="GF30" i="2"/>
  <c r="FZ30" i="2"/>
  <c r="FT30" i="2"/>
  <c r="FN30" i="2"/>
  <c r="FH30" i="2"/>
  <c r="FB30" i="2"/>
  <c r="EV30" i="2"/>
  <c r="EP30" i="2"/>
  <c r="EJ30" i="2"/>
  <c r="ED30" i="2"/>
  <c r="DX30" i="2"/>
  <c r="DR30" i="2"/>
  <c r="DL30" i="2"/>
  <c r="DF30" i="2"/>
  <c r="CZ30" i="2"/>
  <c r="CT30" i="2"/>
  <c r="CN30" i="2"/>
  <c r="CH30" i="2"/>
  <c r="CB30" i="2"/>
  <c r="BV30" i="2"/>
  <c r="BP30" i="2"/>
  <c r="BJ30" i="2"/>
  <c r="BD30" i="2"/>
  <c r="AX30" i="2"/>
  <c r="AR30" i="2"/>
  <c r="AL30" i="2"/>
  <c r="AF30" i="2"/>
  <c r="Z30" i="2"/>
  <c r="T30" i="2"/>
  <c r="N30" i="2"/>
  <c r="GQ30" i="2" s="1"/>
  <c r="GP29" i="2"/>
  <c r="GO29" i="2"/>
  <c r="GN29" i="2"/>
  <c r="GL29" i="2"/>
  <c r="GF29" i="2"/>
  <c r="FZ29" i="2"/>
  <c r="FT29" i="2"/>
  <c r="FN29" i="2"/>
  <c r="FH29" i="2"/>
  <c r="FB29" i="2"/>
  <c r="EV29" i="2"/>
  <c r="EP29" i="2"/>
  <c r="EJ29" i="2"/>
  <c r="ED29" i="2"/>
  <c r="DX29" i="2"/>
  <c r="DR29" i="2"/>
  <c r="DL29" i="2"/>
  <c r="DF29" i="2"/>
  <c r="CZ29" i="2"/>
  <c r="CT29" i="2"/>
  <c r="CN29" i="2"/>
  <c r="CH29" i="2"/>
  <c r="CB29" i="2"/>
  <c r="BV29" i="2"/>
  <c r="BP29" i="2"/>
  <c r="BJ29" i="2"/>
  <c r="BD29" i="2"/>
  <c r="AX29" i="2"/>
  <c r="AR29" i="2"/>
  <c r="AL29" i="2"/>
  <c r="AF29" i="2"/>
  <c r="Z29" i="2"/>
  <c r="T29" i="2"/>
  <c r="N29" i="2"/>
  <c r="GP28" i="2"/>
  <c r="GO28" i="2"/>
  <c r="GN28" i="2"/>
  <c r="GL28" i="2"/>
  <c r="GF28" i="2"/>
  <c r="FZ28" i="2"/>
  <c r="FT28" i="2"/>
  <c r="FN28" i="2"/>
  <c r="FH28" i="2"/>
  <c r="FB28" i="2"/>
  <c r="EV28" i="2"/>
  <c r="EP28" i="2"/>
  <c r="EJ28" i="2"/>
  <c r="ED28" i="2"/>
  <c r="DX28" i="2"/>
  <c r="DR28" i="2"/>
  <c r="DL28" i="2"/>
  <c r="DF28" i="2"/>
  <c r="CZ28" i="2"/>
  <c r="CT28" i="2"/>
  <c r="CN28" i="2"/>
  <c r="CH28" i="2"/>
  <c r="CB28" i="2"/>
  <c r="BV28" i="2"/>
  <c r="BP28" i="2"/>
  <c r="BJ28" i="2"/>
  <c r="BD28" i="2"/>
  <c r="AX28" i="2"/>
  <c r="AR28" i="2"/>
  <c r="AL28" i="2"/>
  <c r="AF28" i="2"/>
  <c r="Z28" i="2"/>
  <c r="T28" i="2"/>
  <c r="N28" i="2"/>
  <c r="GP27" i="2"/>
  <c r="GO27" i="2"/>
  <c r="GN27" i="2"/>
  <c r="GL27" i="2"/>
  <c r="GF27" i="2"/>
  <c r="FZ27" i="2"/>
  <c r="FT27" i="2"/>
  <c r="FN27" i="2"/>
  <c r="FH27" i="2"/>
  <c r="FB27" i="2"/>
  <c r="EV27" i="2"/>
  <c r="EP27" i="2"/>
  <c r="EJ27" i="2"/>
  <c r="ED27" i="2"/>
  <c r="DX27" i="2"/>
  <c r="DR27" i="2"/>
  <c r="DL27" i="2"/>
  <c r="DF27" i="2"/>
  <c r="CZ27" i="2"/>
  <c r="CT27" i="2"/>
  <c r="CN27" i="2"/>
  <c r="CH27" i="2"/>
  <c r="CB27" i="2"/>
  <c r="BV27" i="2"/>
  <c r="BP27" i="2"/>
  <c r="BJ27" i="2"/>
  <c r="BD27" i="2"/>
  <c r="AX27" i="2"/>
  <c r="AR27" i="2"/>
  <c r="AL27" i="2"/>
  <c r="AF27" i="2"/>
  <c r="Z27" i="2"/>
  <c r="T27" i="2"/>
  <c r="N27" i="2"/>
  <c r="GQ27" i="2" s="1"/>
  <c r="GP26" i="2"/>
  <c r="GO26" i="2"/>
  <c r="GN26" i="2"/>
  <c r="GL26" i="2"/>
  <c r="GF26" i="2"/>
  <c r="FZ26" i="2"/>
  <c r="FT26" i="2"/>
  <c r="FN26" i="2"/>
  <c r="FH26" i="2"/>
  <c r="FB26" i="2"/>
  <c r="EV26" i="2"/>
  <c r="EP26" i="2"/>
  <c r="EJ26" i="2"/>
  <c r="ED26" i="2"/>
  <c r="DX26" i="2"/>
  <c r="DR26" i="2"/>
  <c r="DL26" i="2"/>
  <c r="DF26" i="2"/>
  <c r="CZ26" i="2"/>
  <c r="CT26" i="2"/>
  <c r="CN26" i="2"/>
  <c r="CH26" i="2"/>
  <c r="CB26" i="2"/>
  <c r="BV26" i="2"/>
  <c r="BP26" i="2"/>
  <c r="BJ26" i="2"/>
  <c r="BD26" i="2"/>
  <c r="AX26" i="2"/>
  <c r="AR26" i="2"/>
  <c r="AL26" i="2"/>
  <c r="AF26" i="2"/>
  <c r="Z26" i="2"/>
  <c r="T26" i="2"/>
  <c r="N26" i="2"/>
  <c r="GP25" i="2"/>
  <c r="GO25" i="2"/>
  <c r="GN25" i="2"/>
  <c r="GL25" i="2"/>
  <c r="GF25" i="2"/>
  <c r="FZ25" i="2"/>
  <c r="FT25" i="2"/>
  <c r="FN25" i="2"/>
  <c r="FH25" i="2"/>
  <c r="FB25" i="2"/>
  <c r="EV25" i="2"/>
  <c r="EP25" i="2"/>
  <c r="EJ25" i="2"/>
  <c r="ED25" i="2"/>
  <c r="DX25" i="2"/>
  <c r="DR25" i="2"/>
  <c r="DL25" i="2"/>
  <c r="DF25" i="2"/>
  <c r="CZ25" i="2"/>
  <c r="CT25" i="2"/>
  <c r="CN25" i="2"/>
  <c r="CH25" i="2"/>
  <c r="CB25" i="2"/>
  <c r="BV25" i="2"/>
  <c r="BP25" i="2"/>
  <c r="BJ25" i="2"/>
  <c r="BD25" i="2"/>
  <c r="AX25" i="2"/>
  <c r="AR25" i="2"/>
  <c r="AL25" i="2"/>
  <c r="AF25" i="2"/>
  <c r="Z25" i="2"/>
  <c r="T25" i="2"/>
  <c r="N25" i="2"/>
  <c r="GQ25" i="2" s="1"/>
  <c r="GP24" i="2"/>
  <c r="GO24" i="2"/>
  <c r="GN24" i="2"/>
  <c r="GL24" i="2"/>
  <c r="GF24" i="2"/>
  <c r="FZ24" i="2"/>
  <c r="FT24" i="2"/>
  <c r="FN24" i="2"/>
  <c r="FH24" i="2"/>
  <c r="FB24" i="2"/>
  <c r="EV24" i="2"/>
  <c r="EP24" i="2"/>
  <c r="EJ24" i="2"/>
  <c r="ED24" i="2"/>
  <c r="DX24" i="2"/>
  <c r="DR24" i="2"/>
  <c r="DL24" i="2"/>
  <c r="DF24" i="2"/>
  <c r="CZ24" i="2"/>
  <c r="CT24" i="2"/>
  <c r="CN24" i="2"/>
  <c r="CH24" i="2"/>
  <c r="CB24" i="2"/>
  <c r="BV24" i="2"/>
  <c r="BP24" i="2"/>
  <c r="BJ24" i="2"/>
  <c r="BD24" i="2"/>
  <c r="AX24" i="2"/>
  <c r="AR24" i="2"/>
  <c r="AL24" i="2"/>
  <c r="AF24" i="2"/>
  <c r="Z24" i="2"/>
  <c r="T24" i="2"/>
  <c r="N24" i="2"/>
  <c r="GQ24" i="2" s="1"/>
  <c r="GP23" i="2"/>
  <c r="GO23" i="2"/>
  <c r="GN23" i="2"/>
  <c r="GL23" i="2"/>
  <c r="GF23" i="2"/>
  <c r="FZ23" i="2"/>
  <c r="FT23" i="2"/>
  <c r="FN23" i="2"/>
  <c r="FH23" i="2"/>
  <c r="FB23" i="2"/>
  <c r="EV23" i="2"/>
  <c r="EP23" i="2"/>
  <c r="EJ23" i="2"/>
  <c r="ED23" i="2"/>
  <c r="DX23" i="2"/>
  <c r="DR23" i="2"/>
  <c r="DL23" i="2"/>
  <c r="DF23" i="2"/>
  <c r="CZ23" i="2"/>
  <c r="CT23" i="2"/>
  <c r="CN23" i="2"/>
  <c r="CH23" i="2"/>
  <c r="CB23" i="2"/>
  <c r="BV23" i="2"/>
  <c r="BP23" i="2"/>
  <c r="BJ23" i="2"/>
  <c r="BD23" i="2"/>
  <c r="AX23" i="2"/>
  <c r="AR23" i="2"/>
  <c r="AL23" i="2"/>
  <c r="AF23" i="2"/>
  <c r="Z23" i="2"/>
  <c r="T23" i="2"/>
  <c r="N23" i="2"/>
  <c r="GP22" i="2"/>
  <c r="GO22" i="2"/>
  <c r="GN22" i="2"/>
  <c r="GL22" i="2"/>
  <c r="GF22" i="2"/>
  <c r="FZ22" i="2"/>
  <c r="FT22" i="2"/>
  <c r="FN22" i="2"/>
  <c r="FH22" i="2"/>
  <c r="FB22" i="2"/>
  <c r="EV22" i="2"/>
  <c r="EP22" i="2"/>
  <c r="EJ22" i="2"/>
  <c r="ED22" i="2"/>
  <c r="DX22" i="2"/>
  <c r="DR22" i="2"/>
  <c r="DL22" i="2"/>
  <c r="DF22" i="2"/>
  <c r="CZ22" i="2"/>
  <c r="CT22" i="2"/>
  <c r="CN22" i="2"/>
  <c r="CH22" i="2"/>
  <c r="CB22" i="2"/>
  <c r="BV22" i="2"/>
  <c r="BP22" i="2"/>
  <c r="BJ22" i="2"/>
  <c r="BD22" i="2"/>
  <c r="AX22" i="2"/>
  <c r="AR22" i="2"/>
  <c r="AL22" i="2"/>
  <c r="AF22" i="2"/>
  <c r="Z22" i="2"/>
  <c r="T22" i="2"/>
  <c r="N22" i="2"/>
  <c r="GP21" i="2"/>
  <c r="GO21" i="2"/>
  <c r="GN21" i="2"/>
  <c r="GL21" i="2"/>
  <c r="GF21" i="2"/>
  <c r="FZ21" i="2"/>
  <c r="FT21" i="2"/>
  <c r="FN21" i="2"/>
  <c r="FH21" i="2"/>
  <c r="FB21" i="2"/>
  <c r="EV21" i="2"/>
  <c r="EP21" i="2"/>
  <c r="EJ21" i="2"/>
  <c r="ED21" i="2"/>
  <c r="DX21" i="2"/>
  <c r="DR21" i="2"/>
  <c r="DL21" i="2"/>
  <c r="DF21" i="2"/>
  <c r="CZ21" i="2"/>
  <c r="CT21" i="2"/>
  <c r="CN21" i="2"/>
  <c r="CH21" i="2"/>
  <c r="CB21" i="2"/>
  <c r="BV21" i="2"/>
  <c r="BP21" i="2"/>
  <c r="BJ21" i="2"/>
  <c r="BD21" i="2"/>
  <c r="AX21" i="2"/>
  <c r="AR21" i="2"/>
  <c r="AL21" i="2"/>
  <c r="AF21" i="2"/>
  <c r="Z21" i="2"/>
  <c r="T21" i="2"/>
  <c r="N21" i="2"/>
  <c r="GP20" i="2"/>
  <c r="GO20" i="2"/>
  <c r="GN20" i="2"/>
  <c r="GL20" i="2"/>
  <c r="GF20" i="2"/>
  <c r="FZ20" i="2"/>
  <c r="FT20" i="2"/>
  <c r="FN20" i="2"/>
  <c r="FH20" i="2"/>
  <c r="FB20" i="2"/>
  <c r="EV20" i="2"/>
  <c r="EP20" i="2"/>
  <c r="EJ20" i="2"/>
  <c r="ED20" i="2"/>
  <c r="DX20" i="2"/>
  <c r="DR20" i="2"/>
  <c r="DL20" i="2"/>
  <c r="DF20" i="2"/>
  <c r="CZ20" i="2"/>
  <c r="CT20" i="2"/>
  <c r="CN20" i="2"/>
  <c r="CH20" i="2"/>
  <c r="CB20" i="2"/>
  <c r="BV20" i="2"/>
  <c r="BP20" i="2"/>
  <c r="BJ20" i="2"/>
  <c r="BD20" i="2"/>
  <c r="AX20" i="2"/>
  <c r="AR20" i="2"/>
  <c r="AL20" i="2"/>
  <c r="AF20" i="2"/>
  <c r="Z20" i="2"/>
  <c r="T20" i="2"/>
  <c r="N20" i="2"/>
  <c r="GQ20" i="2" s="1"/>
  <c r="GP19" i="2"/>
  <c r="GO19" i="2"/>
  <c r="GN19" i="2"/>
  <c r="GL19" i="2"/>
  <c r="GF19" i="2"/>
  <c r="FZ19" i="2"/>
  <c r="FT19" i="2"/>
  <c r="FN19" i="2"/>
  <c r="FH19" i="2"/>
  <c r="FB19" i="2"/>
  <c r="EV19" i="2"/>
  <c r="EP19" i="2"/>
  <c r="EJ19" i="2"/>
  <c r="ED19" i="2"/>
  <c r="DX19" i="2"/>
  <c r="DR19" i="2"/>
  <c r="DL19" i="2"/>
  <c r="DF19" i="2"/>
  <c r="CZ19" i="2"/>
  <c r="CT19" i="2"/>
  <c r="CN19" i="2"/>
  <c r="CH19" i="2"/>
  <c r="CB19" i="2"/>
  <c r="BV19" i="2"/>
  <c r="BP19" i="2"/>
  <c r="BJ19" i="2"/>
  <c r="BD19" i="2"/>
  <c r="AX19" i="2"/>
  <c r="AR19" i="2"/>
  <c r="AL19" i="2"/>
  <c r="AF19" i="2"/>
  <c r="Z19" i="2"/>
  <c r="T19" i="2"/>
  <c r="N19" i="2"/>
  <c r="GP18" i="2"/>
  <c r="GO18" i="2"/>
  <c r="GN18" i="2"/>
  <c r="GL18" i="2"/>
  <c r="GF18" i="2"/>
  <c r="FZ18" i="2"/>
  <c r="FT18" i="2"/>
  <c r="FN18" i="2"/>
  <c r="FH18" i="2"/>
  <c r="FB18" i="2"/>
  <c r="EV18" i="2"/>
  <c r="EP18" i="2"/>
  <c r="EJ18" i="2"/>
  <c r="ED18" i="2"/>
  <c r="DX18" i="2"/>
  <c r="DR18" i="2"/>
  <c r="DL18" i="2"/>
  <c r="DF18" i="2"/>
  <c r="CZ18" i="2"/>
  <c r="CT18" i="2"/>
  <c r="CN18" i="2"/>
  <c r="CH18" i="2"/>
  <c r="CB18" i="2"/>
  <c r="BV18" i="2"/>
  <c r="BP18" i="2"/>
  <c r="BJ18" i="2"/>
  <c r="BD18" i="2"/>
  <c r="AX18" i="2"/>
  <c r="AR18" i="2"/>
  <c r="AL18" i="2"/>
  <c r="AF18" i="2"/>
  <c r="Z18" i="2"/>
  <c r="T18" i="2"/>
  <c r="N18" i="2"/>
  <c r="GP17" i="2"/>
  <c r="GO17" i="2"/>
  <c r="GN17" i="2"/>
  <c r="GL17" i="2"/>
  <c r="GF17" i="2"/>
  <c r="FZ17" i="2"/>
  <c r="FT17" i="2"/>
  <c r="FN17" i="2"/>
  <c r="FH17" i="2"/>
  <c r="FB17" i="2"/>
  <c r="EV17" i="2"/>
  <c r="EP17" i="2"/>
  <c r="EJ17" i="2"/>
  <c r="ED17" i="2"/>
  <c r="DX17" i="2"/>
  <c r="DR17" i="2"/>
  <c r="DL17" i="2"/>
  <c r="DF17" i="2"/>
  <c r="CZ17" i="2"/>
  <c r="CT17" i="2"/>
  <c r="CN17" i="2"/>
  <c r="CH17" i="2"/>
  <c r="CB17" i="2"/>
  <c r="BV17" i="2"/>
  <c r="BP17" i="2"/>
  <c r="BJ17" i="2"/>
  <c r="BD17" i="2"/>
  <c r="AX17" i="2"/>
  <c r="AR17" i="2"/>
  <c r="AL17" i="2"/>
  <c r="AF17" i="2"/>
  <c r="Z17" i="2"/>
  <c r="T17" i="2"/>
  <c r="N17" i="2"/>
  <c r="GP16" i="2"/>
  <c r="GO16" i="2"/>
  <c r="GN16" i="2"/>
  <c r="GL16" i="2"/>
  <c r="GF16" i="2"/>
  <c r="FZ16" i="2"/>
  <c r="FT16" i="2"/>
  <c r="FN16" i="2"/>
  <c r="FH16" i="2"/>
  <c r="FB16" i="2"/>
  <c r="EV16" i="2"/>
  <c r="EP16" i="2"/>
  <c r="EJ16" i="2"/>
  <c r="ED16" i="2"/>
  <c r="DX16" i="2"/>
  <c r="DR16" i="2"/>
  <c r="DL16" i="2"/>
  <c r="DF16" i="2"/>
  <c r="CZ16" i="2"/>
  <c r="CT16" i="2"/>
  <c r="CN16" i="2"/>
  <c r="CH16" i="2"/>
  <c r="CB16" i="2"/>
  <c r="BV16" i="2"/>
  <c r="BP16" i="2"/>
  <c r="BJ16" i="2"/>
  <c r="BD16" i="2"/>
  <c r="AX16" i="2"/>
  <c r="AR16" i="2"/>
  <c r="AL16" i="2"/>
  <c r="AF16" i="2"/>
  <c r="Z16" i="2"/>
  <c r="T16" i="2"/>
  <c r="N16" i="2"/>
  <c r="O16" i="2" s="1"/>
  <c r="P16" i="2" s="1"/>
  <c r="U16" i="2" s="1"/>
  <c r="V16" i="2" s="1"/>
  <c r="GP15" i="2"/>
  <c r="GO15" i="2"/>
  <c r="GN15" i="2"/>
  <c r="GL15" i="2"/>
  <c r="GF15" i="2"/>
  <c r="FZ15" i="2"/>
  <c r="FT15" i="2"/>
  <c r="FN15" i="2"/>
  <c r="FH15" i="2"/>
  <c r="FB15" i="2"/>
  <c r="EV15" i="2"/>
  <c r="EP15" i="2"/>
  <c r="EJ15" i="2"/>
  <c r="ED15" i="2"/>
  <c r="DX15" i="2"/>
  <c r="DR15" i="2"/>
  <c r="DL15" i="2"/>
  <c r="DF15" i="2"/>
  <c r="CZ15" i="2"/>
  <c r="CT15" i="2"/>
  <c r="CN15" i="2"/>
  <c r="CH15" i="2"/>
  <c r="CB15" i="2"/>
  <c r="BV15" i="2"/>
  <c r="BP15" i="2"/>
  <c r="BJ15" i="2"/>
  <c r="BD15" i="2"/>
  <c r="AX15" i="2"/>
  <c r="AR15" i="2"/>
  <c r="AL15" i="2"/>
  <c r="AF15" i="2"/>
  <c r="Z15" i="2"/>
  <c r="T15" i="2"/>
  <c r="N15" i="2"/>
  <c r="O15" i="2" s="1"/>
  <c r="P15" i="2" s="1"/>
  <c r="U15" i="2" s="1"/>
  <c r="V15" i="2" s="1"/>
  <c r="GP14" i="2"/>
  <c r="GO14" i="2"/>
  <c r="GN14" i="2"/>
  <c r="GL14" i="2"/>
  <c r="GF14" i="2"/>
  <c r="FZ14" i="2"/>
  <c r="FT14" i="2"/>
  <c r="FN14" i="2"/>
  <c r="FH14" i="2"/>
  <c r="FB14" i="2"/>
  <c r="EV14" i="2"/>
  <c r="EP14" i="2"/>
  <c r="EJ14" i="2"/>
  <c r="ED14" i="2"/>
  <c r="DX14" i="2"/>
  <c r="DR14" i="2"/>
  <c r="DL14" i="2"/>
  <c r="DF14" i="2"/>
  <c r="CZ14" i="2"/>
  <c r="CT14" i="2"/>
  <c r="CN14" i="2"/>
  <c r="CH14" i="2"/>
  <c r="CB14" i="2"/>
  <c r="BV14" i="2"/>
  <c r="BP14" i="2"/>
  <c r="BJ14" i="2"/>
  <c r="BD14" i="2"/>
  <c r="AX14" i="2"/>
  <c r="AR14" i="2"/>
  <c r="AL14" i="2"/>
  <c r="AF14" i="2"/>
  <c r="Z14" i="2"/>
  <c r="T14" i="2"/>
  <c r="N14" i="2"/>
  <c r="O14" i="2" s="1"/>
  <c r="P14" i="2" s="1"/>
  <c r="U14" i="2" s="1"/>
  <c r="V14" i="2" s="1"/>
  <c r="GP13" i="2"/>
  <c r="GO13" i="2"/>
  <c r="GN13" i="2"/>
  <c r="GL13" i="2"/>
  <c r="GF13" i="2"/>
  <c r="FZ13" i="2"/>
  <c r="FT13" i="2"/>
  <c r="FN13" i="2"/>
  <c r="FH13" i="2"/>
  <c r="FB13" i="2"/>
  <c r="EV13" i="2"/>
  <c r="EP13" i="2"/>
  <c r="EJ13" i="2"/>
  <c r="ED13" i="2"/>
  <c r="DX13" i="2"/>
  <c r="DR13" i="2"/>
  <c r="DL13" i="2"/>
  <c r="DF13" i="2"/>
  <c r="CZ13" i="2"/>
  <c r="CT13" i="2"/>
  <c r="CN13" i="2"/>
  <c r="CH13" i="2"/>
  <c r="CB13" i="2"/>
  <c r="BV13" i="2"/>
  <c r="BP13" i="2"/>
  <c r="BJ13" i="2"/>
  <c r="BD13" i="2"/>
  <c r="AX13" i="2"/>
  <c r="AR13" i="2"/>
  <c r="AL13" i="2"/>
  <c r="AF13" i="2"/>
  <c r="Z13" i="2"/>
  <c r="T13" i="2"/>
  <c r="N13" i="2"/>
  <c r="GP12" i="2"/>
  <c r="GO12" i="2"/>
  <c r="GN12" i="2"/>
  <c r="GL12" i="2"/>
  <c r="GF12" i="2"/>
  <c r="FZ12" i="2"/>
  <c r="FT12" i="2"/>
  <c r="FN12" i="2"/>
  <c r="FH12" i="2"/>
  <c r="FB12" i="2"/>
  <c r="EV12" i="2"/>
  <c r="EP12" i="2"/>
  <c r="EJ12" i="2"/>
  <c r="ED12" i="2"/>
  <c r="DX12" i="2"/>
  <c r="DR12" i="2"/>
  <c r="DL12" i="2"/>
  <c r="DF12" i="2"/>
  <c r="CZ12" i="2"/>
  <c r="CT12" i="2"/>
  <c r="CN12" i="2"/>
  <c r="CH12" i="2"/>
  <c r="CB12" i="2"/>
  <c r="BV12" i="2"/>
  <c r="BP12" i="2"/>
  <c r="BJ12" i="2"/>
  <c r="BD12" i="2"/>
  <c r="AX12" i="2"/>
  <c r="AR12" i="2"/>
  <c r="AL12" i="2"/>
  <c r="AF12" i="2"/>
  <c r="Z12" i="2"/>
  <c r="T12" i="2"/>
  <c r="N12" i="2"/>
  <c r="GP11" i="2"/>
  <c r="GO11" i="2"/>
  <c r="GN11" i="2"/>
  <c r="GL11" i="2"/>
  <c r="GF11" i="2"/>
  <c r="FZ11" i="2"/>
  <c r="FT11" i="2"/>
  <c r="FN11" i="2"/>
  <c r="FH11" i="2"/>
  <c r="FB11" i="2"/>
  <c r="EV11" i="2"/>
  <c r="EP11" i="2"/>
  <c r="EJ11" i="2"/>
  <c r="ED11" i="2"/>
  <c r="DX11" i="2"/>
  <c r="DR11" i="2"/>
  <c r="DL11" i="2"/>
  <c r="DF11" i="2"/>
  <c r="CZ11" i="2"/>
  <c r="CT11" i="2"/>
  <c r="CN11" i="2"/>
  <c r="CH11" i="2"/>
  <c r="CB11" i="2"/>
  <c r="BV11" i="2"/>
  <c r="BP11" i="2"/>
  <c r="BJ11" i="2"/>
  <c r="BD11" i="2"/>
  <c r="AX11" i="2"/>
  <c r="AR11" i="2"/>
  <c r="AL11" i="2"/>
  <c r="AF11" i="2"/>
  <c r="Z11" i="2"/>
  <c r="T11" i="2"/>
  <c r="N11" i="2"/>
  <c r="O11" i="2" s="1"/>
  <c r="P11" i="2" s="1"/>
  <c r="U11" i="2" s="1"/>
  <c r="V11" i="2" s="1"/>
  <c r="GP10" i="2"/>
  <c r="GO10" i="2"/>
  <c r="GN10" i="2"/>
  <c r="GL10" i="2"/>
  <c r="GF10" i="2"/>
  <c r="FZ10" i="2"/>
  <c r="FT10" i="2"/>
  <c r="FN10" i="2"/>
  <c r="FH10" i="2"/>
  <c r="FB10" i="2"/>
  <c r="EV10" i="2"/>
  <c r="EP10" i="2"/>
  <c r="EJ10" i="2"/>
  <c r="ED10" i="2"/>
  <c r="DX10" i="2"/>
  <c r="DR10" i="2"/>
  <c r="DL10" i="2"/>
  <c r="DF10" i="2"/>
  <c r="CZ10" i="2"/>
  <c r="CT10" i="2"/>
  <c r="CN10" i="2"/>
  <c r="CH10" i="2"/>
  <c r="CB10" i="2"/>
  <c r="BV10" i="2"/>
  <c r="BP10" i="2"/>
  <c r="BJ10" i="2"/>
  <c r="BD10" i="2"/>
  <c r="AX10" i="2"/>
  <c r="AR10" i="2"/>
  <c r="AL10" i="2"/>
  <c r="AF10" i="2"/>
  <c r="Z10" i="2"/>
  <c r="T10" i="2"/>
  <c r="N10" i="2"/>
  <c r="O10" i="2" s="1"/>
  <c r="P10" i="2" s="1"/>
  <c r="U10" i="2" s="1"/>
  <c r="V10" i="2" s="1"/>
  <c r="GP9" i="2"/>
  <c r="GO9" i="2"/>
  <c r="GN9" i="2"/>
  <c r="GL9" i="2"/>
  <c r="GL106" i="2" s="1"/>
  <c r="GF9" i="2"/>
  <c r="GF106" i="2" s="1"/>
  <c r="FZ9" i="2"/>
  <c r="FZ106" i="2" s="1"/>
  <c r="FT9" i="2"/>
  <c r="FT106" i="2" s="1"/>
  <c r="FN9" i="2"/>
  <c r="FN106" i="2" s="1"/>
  <c r="FH9" i="2"/>
  <c r="FH106" i="2" s="1"/>
  <c r="FB9" i="2"/>
  <c r="FB106" i="2" s="1"/>
  <c r="EV9" i="2"/>
  <c r="EV106" i="2" s="1"/>
  <c r="EP9" i="2"/>
  <c r="EP106" i="2" s="1"/>
  <c r="EJ9" i="2"/>
  <c r="EJ106" i="2" s="1"/>
  <c r="ED9" i="2"/>
  <c r="ED106" i="2" s="1"/>
  <c r="DX9" i="2"/>
  <c r="DX106" i="2" s="1"/>
  <c r="DR9" i="2"/>
  <c r="DR106" i="2" s="1"/>
  <c r="DL9" i="2"/>
  <c r="DL106" i="2" s="1"/>
  <c r="DF9" i="2"/>
  <c r="DF106" i="2" s="1"/>
  <c r="CZ9" i="2"/>
  <c r="CZ106" i="2" s="1"/>
  <c r="CT9" i="2"/>
  <c r="CT106" i="2" s="1"/>
  <c r="CN9" i="2"/>
  <c r="CH9" i="2"/>
  <c r="CB9" i="2"/>
  <c r="BV9" i="2"/>
  <c r="BP9" i="2"/>
  <c r="BJ9" i="2"/>
  <c r="BD9" i="2"/>
  <c r="AX9" i="2"/>
  <c r="AR9" i="2"/>
  <c r="AL9" i="2"/>
  <c r="AF9" i="2"/>
  <c r="Z9" i="2"/>
  <c r="Z106" i="2" s="1"/>
  <c r="T9" i="2"/>
  <c r="T106" i="2" s="1"/>
  <c r="N9" i="2"/>
  <c r="CN106" i="2" l="1"/>
  <c r="CC37" i="2"/>
  <c r="CD37" i="2" s="1"/>
  <c r="CI37" i="2" s="1"/>
  <c r="CJ37" i="2" s="1"/>
  <c r="CC35" i="2"/>
  <c r="CD35" i="2" s="1"/>
  <c r="CI35" i="2" s="1"/>
  <c r="CJ35" i="2" s="1"/>
  <c r="GQ32" i="2"/>
  <c r="CC82" i="2"/>
  <c r="CD82" i="2" s="1"/>
  <c r="CI82" i="2" s="1"/>
  <c r="CJ82" i="2" s="1"/>
  <c r="BW76" i="2"/>
  <c r="BX76" i="2" s="1"/>
  <c r="CC76" i="2" s="1"/>
  <c r="CD76" i="2" s="1"/>
  <c r="CI76" i="2" s="1"/>
  <c r="CJ76" i="2" s="1"/>
  <c r="CH106" i="2"/>
  <c r="CB106" i="2"/>
  <c r="BV106" i="2"/>
  <c r="BP106" i="2"/>
  <c r="BJ106" i="2"/>
  <c r="GQ19" i="2"/>
  <c r="BD106" i="2"/>
  <c r="AX106" i="2"/>
  <c r="AF106" i="2"/>
  <c r="GQ26" i="2"/>
  <c r="GQ17" i="2"/>
  <c r="O17" i="2"/>
  <c r="P17" i="2" s="1"/>
  <c r="U17" i="2" s="1"/>
  <c r="V17" i="2" s="1"/>
  <c r="GQ13" i="2"/>
  <c r="O13" i="2"/>
  <c r="P13" i="2" s="1"/>
  <c r="U13" i="2" s="1"/>
  <c r="V13" i="2" s="1"/>
  <c r="GQ12" i="2"/>
  <c r="O12" i="2"/>
  <c r="P12" i="2" s="1"/>
  <c r="U12" i="2" s="1"/>
  <c r="V12" i="2" s="1"/>
  <c r="AA12" i="2" s="1"/>
  <c r="AB12" i="2" s="1"/>
  <c r="AG12" i="2" s="1"/>
  <c r="AH12" i="2" s="1"/>
  <c r="AM12" i="2" s="1"/>
  <c r="AN12" i="2" s="1"/>
  <c r="AS12" i="2" s="1"/>
  <c r="AT12" i="2" s="1"/>
  <c r="AY12" i="2" s="1"/>
  <c r="AZ12" i="2" s="1"/>
  <c r="BE12" i="2" s="1"/>
  <c r="BF12" i="2" s="1"/>
  <c r="BK12" i="2" s="1"/>
  <c r="BL12" i="2" s="1"/>
  <c r="BQ12" i="2" s="1"/>
  <c r="BR12" i="2" s="1"/>
  <c r="BW12" i="2" s="1"/>
  <c r="BX12" i="2" s="1"/>
  <c r="CC12" i="2" s="1"/>
  <c r="CD12" i="2" s="1"/>
  <c r="CI12" i="2" s="1"/>
  <c r="CJ12" i="2" s="1"/>
  <c r="CO12" i="2" s="1"/>
  <c r="CP12" i="2" s="1"/>
  <c r="CU12" i="2" s="1"/>
  <c r="CV12" i="2" s="1"/>
  <c r="DA12" i="2" s="1"/>
  <c r="DB12" i="2" s="1"/>
  <c r="DG12" i="2" s="1"/>
  <c r="DH12" i="2" s="1"/>
  <c r="DM12" i="2" s="1"/>
  <c r="DN12" i="2" s="1"/>
  <c r="DS12" i="2" s="1"/>
  <c r="DT12" i="2" s="1"/>
  <c r="DY12" i="2" s="1"/>
  <c r="DZ12" i="2" s="1"/>
  <c r="EE12" i="2" s="1"/>
  <c r="EF12" i="2" s="1"/>
  <c r="EK12" i="2" s="1"/>
  <c r="EL12" i="2" s="1"/>
  <c r="EQ12" i="2" s="1"/>
  <c r="ER12" i="2" s="1"/>
  <c r="EW12" i="2" s="1"/>
  <c r="EX12" i="2" s="1"/>
  <c r="FC12" i="2" s="1"/>
  <c r="FD12" i="2" s="1"/>
  <c r="FI12" i="2" s="1"/>
  <c r="FJ12" i="2" s="1"/>
  <c r="FO12" i="2" s="1"/>
  <c r="FP12" i="2" s="1"/>
  <c r="FU12" i="2" s="1"/>
  <c r="FV12" i="2" s="1"/>
  <c r="GA12" i="2" s="1"/>
  <c r="GB12" i="2" s="1"/>
  <c r="GG12" i="2" s="1"/>
  <c r="GH12" i="2" s="1"/>
  <c r="GM12" i="2" s="1"/>
  <c r="GR12" i="2" s="1"/>
  <c r="GQ9" i="2"/>
  <c r="O9" i="2"/>
  <c r="AR106" i="2"/>
  <c r="AL106" i="2"/>
  <c r="GQ23" i="2"/>
  <c r="AM95" i="2"/>
  <c r="AN95" i="2" s="1"/>
  <c r="AS95" i="2" s="1"/>
  <c r="AT95" i="2" s="1"/>
  <c r="AY95" i="2" s="1"/>
  <c r="AZ95" i="2" s="1"/>
  <c r="BE95" i="2" s="1"/>
  <c r="BF95" i="2" s="1"/>
  <c r="AA11" i="2"/>
  <c r="AB11" i="2" s="1"/>
  <c r="AA13" i="2"/>
  <c r="AB13" i="2" s="1"/>
  <c r="AA14" i="2"/>
  <c r="AB14" i="2" s="1"/>
  <c r="AG14" i="2" s="1"/>
  <c r="AH14" i="2" s="1"/>
  <c r="AM14" i="2" s="1"/>
  <c r="AN14" i="2" s="1"/>
  <c r="AS14" i="2" s="1"/>
  <c r="AT14" i="2" s="1"/>
  <c r="AY14" i="2" s="1"/>
  <c r="AZ14" i="2" s="1"/>
  <c r="BE14" i="2" s="1"/>
  <c r="BF14" i="2" s="1"/>
  <c r="BK14" i="2" s="1"/>
  <c r="BL14" i="2" s="1"/>
  <c r="BQ14" i="2" s="1"/>
  <c r="BR14" i="2" s="1"/>
  <c r="BW14" i="2" s="1"/>
  <c r="BX14" i="2" s="1"/>
  <c r="CC14" i="2" s="1"/>
  <c r="CD14" i="2" s="1"/>
  <c r="CI14" i="2" s="1"/>
  <c r="CJ14" i="2" s="1"/>
  <c r="CO14" i="2" s="1"/>
  <c r="CP14" i="2" s="1"/>
  <c r="CU14" i="2" s="1"/>
  <c r="CV14" i="2" s="1"/>
  <c r="DA14" i="2" s="1"/>
  <c r="DB14" i="2" s="1"/>
  <c r="DG14" i="2" s="1"/>
  <c r="DH14" i="2" s="1"/>
  <c r="DM14" i="2" s="1"/>
  <c r="DN14" i="2" s="1"/>
  <c r="DS14" i="2" s="1"/>
  <c r="DT14" i="2" s="1"/>
  <c r="DY14" i="2" s="1"/>
  <c r="DZ14" i="2" s="1"/>
  <c r="EE14" i="2" s="1"/>
  <c r="EF14" i="2" s="1"/>
  <c r="EK14" i="2" s="1"/>
  <c r="EL14" i="2" s="1"/>
  <c r="EQ14" i="2" s="1"/>
  <c r="ER14" i="2" s="1"/>
  <c r="EW14" i="2" s="1"/>
  <c r="EX14" i="2" s="1"/>
  <c r="FC14" i="2" s="1"/>
  <c r="FD14" i="2" s="1"/>
  <c r="FI14" i="2" s="1"/>
  <c r="FJ14" i="2" s="1"/>
  <c r="FO14" i="2" s="1"/>
  <c r="FP14" i="2" s="1"/>
  <c r="FU14" i="2" s="1"/>
  <c r="FV14" i="2" s="1"/>
  <c r="GA14" i="2" s="1"/>
  <c r="GB14" i="2" s="1"/>
  <c r="GG14" i="2" s="1"/>
  <c r="GH14" i="2" s="1"/>
  <c r="GM14" i="2" s="1"/>
  <c r="GR14" i="2" s="1"/>
  <c r="AA15" i="2"/>
  <c r="AB15" i="2" s="1"/>
  <c r="AG15" i="2" s="1"/>
  <c r="AH15" i="2" s="1"/>
  <c r="AM15" i="2" s="1"/>
  <c r="AN15" i="2" s="1"/>
  <c r="AS15" i="2" s="1"/>
  <c r="AT15" i="2" s="1"/>
  <c r="AY15" i="2" s="1"/>
  <c r="AZ15" i="2" s="1"/>
  <c r="BE15" i="2" s="1"/>
  <c r="BF15" i="2" s="1"/>
  <c r="BK15" i="2" s="1"/>
  <c r="BL15" i="2" s="1"/>
  <c r="BQ15" i="2" s="1"/>
  <c r="BR15" i="2" s="1"/>
  <c r="BW15" i="2" s="1"/>
  <c r="BX15" i="2" s="1"/>
  <c r="CC15" i="2" s="1"/>
  <c r="CD15" i="2" s="1"/>
  <c r="CI15" i="2" s="1"/>
  <c r="CJ15" i="2" s="1"/>
  <c r="CO15" i="2" s="1"/>
  <c r="CP15" i="2" s="1"/>
  <c r="CU15" i="2" s="1"/>
  <c r="CV15" i="2" s="1"/>
  <c r="DA15" i="2" s="1"/>
  <c r="DB15" i="2" s="1"/>
  <c r="DG15" i="2" s="1"/>
  <c r="DH15" i="2" s="1"/>
  <c r="DM15" i="2" s="1"/>
  <c r="DN15" i="2" s="1"/>
  <c r="DS15" i="2" s="1"/>
  <c r="DT15" i="2" s="1"/>
  <c r="DY15" i="2" s="1"/>
  <c r="DZ15" i="2" s="1"/>
  <c r="EE15" i="2" s="1"/>
  <c r="EF15" i="2" s="1"/>
  <c r="EK15" i="2" s="1"/>
  <c r="EL15" i="2" s="1"/>
  <c r="EQ15" i="2" s="1"/>
  <c r="ER15" i="2" s="1"/>
  <c r="EW15" i="2" s="1"/>
  <c r="EX15" i="2" s="1"/>
  <c r="FC15" i="2" s="1"/>
  <c r="FD15" i="2" s="1"/>
  <c r="FI15" i="2" s="1"/>
  <c r="FJ15" i="2" s="1"/>
  <c r="FO15" i="2" s="1"/>
  <c r="FP15" i="2" s="1"/>
  <c r="FU15" i="2" s="1"/>
  <c r="FV15" i="2" s="1"/>
  <c r="GA15" i="2" s="1"/>
  <c r="GB15" i="2" s="1"/>
  <c r="GG15" i="2" s="1"/>
  <c r="GH15" i="2" s="1"/>
  <c r="GM15" i="2" s="1"/>
  <c r="GR15" i="2" s="1"/>
  <c r="AA16" i="2"/>
  <c r="AB16" i="2" s="1"/>
  <c r="AG16" i="2" s="1"/>
  <c r="AH16" i="2" s="1"/>
  <c r="AM16" i="2" s="1"/>
  <c r="AN16" i="2" s="1"/>
  <c r="AS16" i="2" s="1"/>
  <c r="AT16" i="2" s="1"/>
  <c r="AY16" i="2" s="1"/>
  <c r="AZ16" i="2" s="1"/>
  <c r="BE16" i="2" s="1"/>
  <c r="BF16" i="2" s="1"/>
  <c r="BK16" i="2" s="1"/>
  <c r="BL16" i="2" s="1"/>
  <c r="BQ16" i="2" s="1"/>
  <c r="BR16" i="2" s="1"/>
  <c r="BW16" i="2" s="1"/>
  <c r="BX16" i="2" s="1"/>
  <c r="CC16" i="2" s="1"/>
  <c r="CD16" i="2" s="1"/>
  <c r="CI16" i="2" s="1"/>
  <c r="CJ16" i="2" s="1"/>
  <c r="CO16" i="2" s="1"/>
  <c r="CP16" i="2" s="1"/>
  <c r="CU16" i="2" s="1"/>
  <c r="CV16" i="2" s="1"/>
  <c r="DA16" i="2" s="1"/>
  <c r="DB16" i="2" s="1"/>
  <c r="DG16" i="2" s="1"/>
  <c r="DH16" i="2" s="1"/>
  <c r="DM16" i="2" s="1"/>
  <c r="DN16" i="2" s="1"/>
  <c r="DS16" i="2" s="1"/>
  <c r="DT16" i="2" s="1"/>
  <c r="DY16" i="2" s="1"/>
  <c r="DZ16" i="2" s="1"/>
  <c r="EE16" i="2" s="1"/>
  <c r="EF16" i="2" s="1"/>
  <c r="EK16" i="2" s="1"/>
  <c r="EL16" i="2" s="1"/>
  <c r="EQ16" i="2" s="1"/>
  <c r="ER16" i="2" s="1"/>
  <c r="EW16" i="2" s="1"/>
  <c r="EX16" i="2" s="1"/>
  <c r="FC16" i="2" s="1"/>
  <c r="FD16" i="2" s="1"/>
  <c r="FI16" i="2" s="1"/>
  <c r="FJ16" i="2" s="1"/>
  <c r="FO16" i="2" s="1"/>
  <c r="FP16" i="2" s="1"/>
  <c r="FU16" i="2" s="1"/>
  <c r="FV16" i="2" s="1"/>
  <c r="GA16" i="2" s="1"/>
  <c r="GB16" i="2" s="1"/>
  <c r="GG16" i="2" s="1"/>
  <c r="GH16" i="2" s="1"/>
  <c r="GM16" i="2" s="1"/>
  <c r="GR16" i="2" s="1"/>
  <c r="GQ16" i="2"/>
  <c r="GQ14" i="2"/>
  <c r="AA86" i="2"/>
  <c r="AB86" i="2" s="1"/>
  <c r="AG86" i="2" s="1"/>
  <c r="AH86" i="2" s="1"/>
  <c r="AM86" i="2" s="1"/>
  <c r="AN86" i="2" s="1"/>
  <c r="AS86" i="2" s="1"/>
  <c r="AT86" i="2" s="1"/>
  <c r="AY86" i="2" s="1"/>
  <c r="AZ86" i="2" s="1"/>
  <c r="BE86" i="2" s="1"/>
  <c r="BF86" i="2" s="1"/>
  <c r="AA85" i="2"/>
  <c r="AB85" i="2" s="1"/>
  <c r="AG85" i="2" s="1"/>
  <c r="AH85" i="2" s="1"/>
  <c r="AM85" i="2" s="1"/>
  <c r="AN85" i="2" s="1"/>
  <c r="AS85" i="2" s="1"/>
  <c r="AT85" i="2" s="1"/>
  <c r="AY85" i="2" s="1"/>
  <c r="AZ85" i="2" s="1"/>
  <c r="BE85" i="2" s="1"/>
  <c r="BF85" i="2" s="1"/>
  <c r="AA84" i="2"/>
  <c r="AB84" i="2" s="1"/>
  <c r="AG84" i="2" s="1"/>
  <c r="AH84" i="2" s="1"/>
  <c r="AM84" i="2" s="1"/>
  <c r="AN84" i="2" s="1"/>
  <c r="AS84" i="2" s="1"/>
  <c r="AT84" i="2" s="1"/>
  <c r="AY84" i="2" s="1"/>
  <c r="AZ84" i="2" s="1"/>
  <c r="BE84" i="2" s="1"/>
  <c r="BF84" i="2" s="1"/>
  <c r="AA83" i="2"/>
  <c r="AB83" i="2" s="1"/>
  <c r="AG83" i="2" s="1"/>
  <c r="AH83" i="2" s="1"/>
  <c r="AM83" i="2" s="1"/>
  <c r="AN83" i="2" s="1"/>
  <c r="AS83" i="2" s="1"/>
  <c r="AT83" i="2" s="1"/>
  <c r="AY83" i="2" s="1"/>
  <c r="AZ83" i="2" s="1"/>
  <c r="BE83" i="2" s="1"/>
  <c r="BF83" i="2" s="1"/>
  <c r="AA82" i="2"/>
  <c r="AB82" i="2" s="1"/>
  <c r="AG82" i="2" s="1"/>
  <c r="AH82" i="2" s="1"/>
  <c r="AM82" i="2" s="1"/>
  <c r="AN82" i="2" s="1"/>
  <c r="AS82" i="2" s="1"/>
  <c r="AT82" i="2" s="1"/>
  <c r="AY82" i="2" s="1"/>
  <c r="AZ82" i="2" s="1"/>
  <c r="BE82" i="2" s="1"/>
  <c r="BF82" i="2" s="1"/>
  <c r="AA81" i="2"/>
  <c r="AB81" i="2" s="1"/>
  <c r="AG81" i="2" s="1"/>
  <c r="AH81" i="2" s="1"/>
  <c r="AM81" i="2" s="1"/>
  <c r="AN81" i="2" s="1"/>
  <c r="AS81" i="2" s="1"/>
  <c r="AT81" i="2" s="1"/>
  <c r="AY81" i="2" s="1"/>
  <c r="AZ81" i="2" s="1"/>
  <c r="BE81" i="2" s="1"/>
  <c r="BF81" i="2" s="1"/>
  <c r="AA80" i="2"/>
  <c r="AB80" i="2" s="1"/>
  <c r="AG80" i="2" s="1"/>
  <c r="AH80" i="2" s="1"/>
  <c r="AM80" i="2" s="1"/>
  <c r="AN80" i="2" s="1"/>
  <c r="AS80" i="2" s="1"/>
  <c r="AT80" i="2" s="1"/>
  <c r="AY80" i="2" s="1"/>
  <c r="AZ80" i="2" s="1"/>
  <c r="BE80" i="2" s="1"/>
  <c r="BF80" i="2" s="1"/>
  <c r="AA79" i="2"/>
  <c r="AB79" i="2" s="1"/>
  <c r="AG79" i="2" s="1"/>
  <c r="AH79" i="2" s="1"/>
  <c r="AM79" i="2" s="1"/>
  <c r="AN79" i="2" s="1"/>
  <c r="AS79" i="2" s="1"/>
  <c r="AT79" i="2" s="1"/>
  <c r="AY79" i="2" s="1"/>
  <c r="AZ79" i="2" s="1"/>
  <c r="BE79" i="2" s="1"/>
  <c r="BF79" i="2" s="1"/>
  <c r="AA48" i="2"/>
  <c r="AB48" i="2" s="1"/>
  <c r="AG48" i="2" s="1"/>
  <c r="AH48" i="2" s="1"/>
  <c r="AM48" i="2" s="1"/>
  <c r="AN48" i="2" s="1"/>
  <c r="AS48" i="2" s="1"/>
  <c r="AT48" i="2" s="1"/>
  <c r="AY48" i="2" s="1"/>
  <c r="AZ48" i="2" s="1"/>
  <c r="BE48" i="2" s="1"/>
  <c r="BF48" i="2" s="1"/>
  <c r="AA47" i="2"/>
  <c r="AB47" i="2" s="1"/>
  <c r="AG47" i="2" s="1"/>
  <c r="AH47" i="2" s="1"/>
  <c r="AM47" i="2" s="1"/>
  <c r="AN47" i="2" s="1"/>
  <c r="AS47" i="2" s="1"/>
  <c r="AT47" i="2" s="1"/>
  <c r="AY47" i="2" s="1"/>
  <c r="AZ47" i="2" s="1"/>
  <c r="BE47" i="2" s="1"/>
  <c r="BF47" i="2" s="1"/>
  <c r="AA46" i="2"/>
  <c r="AB46" i="2" s="1"/>
  <c r="AG46" i="2" s="1"/>
  <c r="AH46" i="2" s="1"/>
  <c r="AM46" i="2" s="1"/>
  <c r="AN46" i="2" s="1"/>
  <c r="AS46" i="2" s="1"/>
  <c r="AT46" i="2" s="1"/>
  <c r="AY46" i="2" s="1"/>
  <c r="AZ46" i="2" s="1"/>
  <c r="BE46" i="2" s="1"/>
  <c r="BF46" i="2" s="1"/>
  <c r="AA45" i="2"/>
  <c r="AB45" i="2" s="1"/>
  <c r="AG45" i="2" s="1"/>
  <c r="AH45" i="2" s="1"/>
  <c r="AM45" i="2" s="1"/>
  <c r="AN45" i="2" s="1"/>
  <c r="AS45" i="2" s="1"/>
  <c r="AT45" i="2" s="1"/>
  <c r="AY45" i="2" s="1"/>
  <c r="AZ45" i="2" s="1"/>
  <c r="BE45" i="2" s="1"/>
  <c r="BF45" i="2" s="1"/>
  <c r="AA44" i="2"/>
  <c r="AB44" i="2" s="1"/>
  <c r="AG44" i="2" s="1"/>
  <c r="AH44" i="2" s="1"/>
  <c r="AM44" i="2" s="1"/>
  <c r="AN44" i="2" s="1"/>
  <c r="AS44" i="2" s="1"/>
  <c r="AT44" i="2" s="1"/>
  <c r="AY44" i="2" s="1"/>
  <c r="AZ44" i="2" s="1"/>
  <c r="BE44" i="2" s="1"/>
  <c r="BF44" i="2" s="1"/>
  <c r="AA43" i="2"/>
  <c r="AB43" i="2" s="1"/>
  <c r="AG43" i="2" s="1"/>
  <c r="AH43" i="2" s="1"/>
  <c r="AM43" i="2" s="1"/>
  <c r="AN43" i="2" s="1"/>
  <c r="AS43" i="2" s="1"/>
  <c r="AT43" i="2" s="1"/>
  <c r="AY43" i="2" s="1"/>
  <c r="AZ43" i="2" s="1"/>
  <c r="BE43" i="2" s="1"/>
  <c r="BF43" i="2" s="1"/>
  <c r="AA42" i="2"/>
  <c r="AB42" i="2" s="1"/>
  <c r="AG42" i="2" s="1"/>
  <c r="AH42" i="2" s="1"/>
  <c r="AM42" i="2" s="1"/>
  <c r="AN42" i="2" s="1"/>
  <c r="AS42" i="2" s="1"/>
  <c r="AT42" i="2" s="1"/>
  <c r="AY42" i="2" s="1"/>
  <c r="AZ42" i="2" s="1"/>
  <c r="BE42" i="2" s="1"/>
  <c r="BF42" i="2" s="1"/>
  <c r="AA41" i="2"/>
  <c r="AB41" i="2" s="1"/>
  <c r="AG41" i="2" s="1"/>
  <c r="AH41" i="2" s="1"/>
  <c r="AM41" i="2" s="1"/>
  <c r="AN41" i="2" s="1"/>
  <c r="AS41" i="2" s="1"/>
  <c r="AT41" i="2" s="1"/>
  <c r="AY41" i="2" s="1"/>
  <c r="AZ41" i="2" s="1"/>
  <c r="BE41" i="2" s="1"/>
  <c r="BF41" i="2" s="1"/>
  <c r="AA40" i="2"/>
  <c r="AB40" i="2" s="1"/>
  <c r="AG40" i="2" s="1"/>
  <c r="AH40" i="2" s="1"/>
  <c r="AM40" i="2" s="1"/>
  <c r="AN40" i="2" s="1"/>
  <c r="AS40" i="2" s="1"/>
  <c r="AT40" i="2" s="1"/>
  <c r="AY40" i="2" s="1"/>
  <c r="AZ40" i="2" s="1"/>
  <c r="BE40" i="2" s="1"/>
  <c r="BF40" i="2" s="1"/>
  <c r="AA39" i="2"/>
  <c r="AB39" i="2" s="1"/>
  <c r="AG39" i="2" s="1"/>
  <c r="AH39" i="2" s="1"/>
  <c r="AM39" i="2" s="1"/>
  <c r="AN39" i="2" s="1"/>
  <c r="AS39" i="2" s="1"/>
  <c r="AT39" i="2" s="1"/>
  <c r="AY39" i="2" s="1"/>
  <c r="AZ39" i="2" s="1"/>
  <c r="BE39" i="2" s="1"/>
  <c r="BF39" i="2" s="1"/>
  <c r="AA38" i="2"/>
  <c r="AB38" i="2" s="1"/>
  <c r="AG38" i="2" s="1"/>
  <c r="AH38" i="2" s="1"/>
  <c r="AM38" i="2" s="1"/>
  <c r="AN38" i="2" s="1"/>
  <c r="AS38" i="2" s="1"/>
  <c r="AT38" i="2" s="1"/>
  <c r="AY38" i="2" s="1"/>
  <c r="AZ38" i="2" s="1"/>
  <c r="BE38" i="2" s="1"/>
  <c r="BF38" i="2" s="1"/>
  <c r="AA37" i="2"/>
  <c r="AB37" i="2" s="1"/>
  <c r="AG37" i="2" s="1"/>
  <c r="AH37" i="2" s="1"/>
  <c r="AM37" i="2" s="1"/>
  <c r="AN37" i="2" s="1"/>
  <c r="AS37" i="2" s="1"/>
  <c r="AT37" i="2" s="1"/>
  <c r="AY37" i="2" s="1"/>
  <c r="AZ37" i="2" s="1"/>
  <c r="BE37" i="2" s="1"/>
  <c r="BF37" i="2" s="1"/>
  <c r="AA36" i="2"/>
  <c r="AB36" i="2" s="1"/>
  <c r="AG36" i="2" s="1"/>
  <c r="AH36" i="2" s="1"/>
  <c r="AM36" i="2" s="1"/>
  <c r="AN36" i="2" s="1"/>
  <c r="AS36" i="2" s="1"/>
  <c r="AT36" i="2" s="1"/>
  <c r="AY36" i="2" s="1"/>
  <c r="AZ36" i="2" s="1"/>
  <c r="BE36" i="2" s="1"/>
  <c r="BF36" i="2" s="1"/>
  <c r="AA19" i="2"/>
  <c r="AB19" i="2" s="1"/>
  <c r="AG19" i="2" s="1"/>
  <c r="AH19" i="2" s="1"/>
  <c r="AM19" i="2" s="1"/>
  <c r="AN19" i="2" s="1"/>
  <c r="AS19" i="2" s="1"/>
  <c r="AT19" i="2" s="1"/>
  <c r="AY19" i="2" s="1"/>
  <c r="AZ19" i="2" s="1"/>
  <c r="BE19" i="2" s="1"/>
  <c r="BF19" i="2" s="1"/>
  <c r="BK19" i="2" s="1"/>
  <c r="BL19" i="2" s="1"/>
  <c r="BQ19" i="2" s="1"/>
  <c r="BR19" i="2" s="1"/>
  <c r="BW19" i="2" s="1"/>
  <c r="BX19" i="2" s="1"/>
  <c r="CC19" i="2" s="1"/>
  <c r="CD19" i="2" s="1"/>
  <c r="CI19" i="2" s="1"/>
  <c r="CJ19" i="2" s="1"/>
  <c r="CO19" i="2" s="1"/>
  <c r="CP19" i="2" s="1"/>
  <c r="CU19" i="2" s="1"/>
  <c r="CV19" i="2" s="1"/>
  <c r="DA19" i="2" s="1"/>
  <c r="DB19" i="2" s="1"/>
  <c r="DG19" i="2" s="1"/>
  <c r="DH19" i="2" s="1"/>
  <c r="DM19" i="2" s="1"/>
  <c r="DN19" i="2" s="1"/>
  <c r="DS19" i="2" s="1"/>
  <c r="DT19" i="2" s="1"/>
  <c r="DY19" i="2" s="1"/>
  <c r="DZ19" i="2" s="1"/>
  <c r="EE19" i="2" s="1"/>
  <c r="EF19" i="2" s="1"/>
  <c r="EK19" i="2" s="1"/>
  <c r="EL19" i="2" s="1"/>
  <c r="EQ19" i="2" s="1"/>
  <c r="ER19" i="2" s="1"/>
  <c r="EW19" i="2" s="1"/>
  <c r="EX19" i="2" s="1"/>
  <c r="FC19" i="2" s="1"/>
  <c r="FD19" i="2" s="1"/>
  <c r="FI19" i="2" s="1"/>
  <c r="FJ19" i="2" s="1"/>
  <c r="FO19" i="2" s="1"/>
  <c r="FP19" i="2" s="1"/>
  <c r="FU19" i="2" s="1"/>
  <c r="FV19" i="2" s="1"/>
  <c r="GA19" i="2" s="1"/>
  <c r="GB19" i="2" s="1"/>
  <c r="GG19" i="2" s="1"/>
  <c r="GH19" i="2" s="1"/>
  <c r="GM19" i="2" s="1"/>
  <c r="GR19" i="2" s="1"/>
  <c r="AA17" i="2"/>
  <c r="AB17" i="2" s="1"/>
  <c r="AG17" i="2" s="1"/>
  <c r="AH17" i="2" s="1"/>
  <c r="AM17" i="2" s="1"/>
  <c r="AN17" i="2" s="1"/>
  <c r="AS17" i="2" s="1"/>
  <c r="AT17" i="2" s="1"/>
  <c r="AY17" i="2" s="1"/>
  <c r="AZ17" i="2" s="1"/>
  <c r="BE17" i="2" s="1"/>
  <c r="BF17" i="2" s="1"/>
  <c r="BK17" i="2" s="1"/>
  <c r="BL17" i="2" s="1"/>
  <c r="BQ17" i="2" s="1"/>
  <c r="BR17" i="2" s="1"/>
  <c r="BW17" i="2" s="1"/>
  <c r="BX17" i="2" s="1"/>
  <c r="CC17" i="2" s="1"/>
  <c r="CD17" i="2" s="1"/>
  <c r="CI17" i="2" s="1"/>
  <c r="CJ17" i="2" s="1"/>
  <c r="CO17" i="2" s="1"/>
  <c r="CP17" i="2" s="1"/>
  <c r="CU17" i="2" s="1"/>
  <c r="CV17" i="2" s="1"/>
  <c r="DA17" i="2" s="1"/>
  <c r="DB17" i="2" s="1"/>
  <c r="DG17" i="2" s="1"/>
  <c r="DH17" i="2" s="1"/>
  <c r="DM17" i="2" s="1"/>
  <c r="DN17" i="2" s="1"/>
  <c r="DS17" i="2" s="1"/>
  <c r="DT17" i="2" s="1"/>
  <c r="DY17" i="2" s="1"/>
  <c r="DZ17" i="2" s="1"/>
  <c r="EE17" i="2" s="1"/>
  <c r="EF17" i="2" s="1"/>
  <c r="EK17" i="2" s="1"/>
  <c r="EL17" i="2" s="1"/>
  <c r="EQ17" i="2" s="1"/>
  <c r="ER17" i="2" s="1"/>
  <c r="EW17" i="2" s="1"/>
  <c r="EX17" i="2" s="1"/>
  <c r="FC17" i="2" s="1"/>
  <c r="FD17" i="2" s="1"/>
  <c r="FI17" i="2" s="1"/>
  <c r="FJ17" i="2" s="1"/>
  <c r="FO17" i="2" s="1"/>
  <c r="FP17" i="2" s="1"/>
  <c r="FU17" i="2" s="1"/>
  <c r="FV17" i="2" s="1"/>
  <c r="GA17" i="2" s="1"/>
  <c r="GB17" i="2" s="1"/>
  <c r="GG17" i="2" s="1"/>
  <c r="GH17" i="2" s="1"/>
  <c r="GM17" i="2" s="1"/>
  <c r="GR17" i="2" s="1"/>
  <c r="AA49" i="2"/>
  <c r="AB49" i="2" s="1"/>
  <c r="AG49" i="2" s="1"/>
  <c r="AH49" i="2" s="1"/>
  <c r="AM49" i="2" s="1"/>
  <c r="AN49" i="2" s="1"/>
  <c r="AS49" i="2" s="1"/>
  <c r="AT49" i="2" s="1"/>
  <c r="AY49" i="2" s="1"/>
  <c r="AZ49" i="2" s="1"/>
  <c r="BE49" i="2" s="1"/>
  <c r="BF49" i="2" s="1"/>
  <c r="AA10" i="2"/>
  <c r="AB10" i="2" s="1"/>
  <c r="AG10" i="2" s="1"/>
  <c r="AH10" i="2" s="1"/>
  <c r="AM10" i="2" s="1"/>
  <c r="AN10" i="2" s="1"/>
  <c r="AS10" i="2" s="1"/>
  <c r="AT10" i="2" s="1"/>
  <c r="AY10" i="2" s="1"/>
  <c r="AZ10" i="2" s="1"/>
  <c r="BE10" i="2" s="1"/>
  <c r="BF10" i="2" s="1"/>
  <c r="BK10" i="2" s="1"/>
  <c r="BL10" i="2" s="1"/>
  <c r="BQ10" i="2" s="1"/>
  <c r="BR10" i="2" s="1"/>
  <c r="BW10" i="2" s="1"/>
  <c r="BX10" i="2" s="1"/>
  <c r="CC10" i="2" s="1"/>
  <c r="CD10" i="2" s="1"/>
  <c r="CI10" i="2" s="1"/>
  <c r="CJ10" i="2" s="1"/>
  <c r="CO10" i="2" s="1"/>
  <c r="CP10" i="2" s="1"/>
  <c r="CU10" i="2" s="1"/>
  <c r="CV10" i="2" s="1"/>
  <c r="DA10" i="2" s="1"/>
  <c r="DB10" i="2" s="1"/>
  <c r="DG10" i="2" s="1"/>
  <c r="DH10" i="2" s="1"/>
  <c r="DM10" i="2" s="1"/>
  <c r="DN10" i="2" s="1"/>
  <c r="DS10" i="2" s="1"/>
  <c r="DT10" i="2" s="1"/>
  <c r="DY10" i="2" s="1"/>
  <c r="DZ10" i="2" s="1"/>
  <c r="EE10" i="2" s="1"/>
  <c r="EF10" i="2" s="1"/>
  <c r="EK10" i="2" s="1"/>
  <c r="EL10" i="2" s="1"/>
  <c r="EQ10" i="2" s="1"/>
  <c r="ER10" i="2" s="1"/>
  <c r="EW10" i="2" s="1"/>
  <c r="EX10" i="2" s="1"/>
  <c r="FC10" i="2" s="1"/>
  <c r="FD10" i="2" s="1"/>
  <c r="FI10" i="2" s="1"/>
  <c r="FJ10" i="2" s="1"/>
  <c r="FO10" i="2" s="1"/>
  <c r="FP10" i="2" s="1"/>
  <c r="FU10" i="2" s="1"/>
  <c r="FV10" i="2" s="1"/>
  <c r="GA10" i="2" s="1"/>
  <c r="GB10" i="2" s="1"/>
  <c r="GG10" i="2" s="1"/>
  <c r="GH10" i="2" s="1"/>
  <c r="GM10" i="2" s="1"/>
  <c r="GR10" i="2" s="1"/>
  <c r="AA78" i="2"/>
  <c r="AB78" i="2" s="1"/>
  <c r="AG78" i="2" s="1"/>
  <c r="AH78" i="2" s="1"/>
  <c r="AM78" i="2" s="1"/>
  <c r="AN78" i="2" s="1"/>
  <c r="AS78" i="2" s="1"/>
  <c r="AT78" i="2" s="1"/>
  <c r="AY78" i="2" s="1"/>
  <c r="AZ78" i="2" s="1"/>
  <c r="BE78" i="2" s="1"/>
  <c r="BF78" i="2" s="1"/>
  <c r="AA77" i="2"/>
  <c r="AB77" i="2" s="1"/>
  <c r="AG77" i="2" s="1"/>
  <c r="AH77" i="2" s="1"/>
  <c r="AM77" i="2" s="1"/>
  <c r="AN77" i="2" s="1"/>
  <c r="AS77" i="2" s="1"/>
  <c r="AT77" i="2" s="1"/>
  <c r="AY77" i="2" s="1"/>
  <c r="AZ77" i="2" s="1"/>
  <c r="BE77" i="2" s="1"/>
  <c r="BF77" i="2" s="1"/>
  <c r="AA74" i="2"/>
  <c r="AB74" i="2" s="1"/>
  <c r="AG74" i="2" s="1"/>
  <c r="AH74" i="2" s="1"/>
  <c r="AM74" i="2" s="1"/>
  <c r="AN74" i="2" s="1"/>
  <c r="AS74" i="2" s="1"/>
  <c r="AT74" i="2" s="1"/>
  <c r="AY74" i="2" s="1"/>
  <c r="AZ74" i="2" s="1"/>
  <c r="BE74" i="2" s="1"/>
  <c r="BF74" i="2" s="1"/>
  <c r="AA73" i="2"/>
  <c r="AB73" i="2" s="1"/>
  <c r="AG73" i="2" s="1"/>
  <c r="AH73" i="2" s="1"/>
  <c r="AM73" i="2" s="1"/>
  <c r="AN73" i="2" s="1"/>
  <c r="AS73" i="2" s="1"/>
  <c r="AT73" i="2" s="1"/>
  <c r="AY73" i="2" s="1"/>
  <c r="AZ73" i="2" s="1"/>
  <c r="BE73" i="2" s="1"/>
  <c r="BF73" i="2" s="1"/>
  <c r="AA72" i="2"/>
  <c r="AB72" i="2" s="1"/>
  <c r="AG72" i="2" s="1"/>
  <c r="AH72" i="2" s="1"/>
  <c r="AM72" i="2" s="1"/>
  <c r="AN72" i="2" s="1"/>
  <c r="AS72" i="2" s="1"/>
  <c r="AT72" i="2" s="1"/>
  <c r="AY72" i="2" s="1"/>
  <c r="AZ72" i="2" s="1"/>
  <c r="BE72" i="2" s="1"/>
  <c r="BF72" i="2" s="1"/>
  <c r="AA71" i="2"/>
  <c r="AB71" i="2" s="1"/>
  <c r="AG71" i="2" s="1"/>
  <c r="AH71" i="2" s="1"/>
  <c r="AM71" i="2" s="1"/>
  <c r="AN71" i="2" s="1"/>
  <c r="AS71" i="2" s="1"/>
  <c r="AT71" i="2" s="1"/>
  <c r="AY71" i="2" s="1"/>
  <c r="AZ71" i="2" s="1"/>
  <c r="BE71" i="2" s="1"/>
  <c r="BF71" i="2" s="1"/>
  <c r="AA70" i="2"/>
  <c r="AB70" i="2" s="1"/>
  <c r="AG70" i="2" s="1"/>
  <c r="AH70" i="2" s="1"/>
  <c r="AM70" i="2" s="1"/>
  <c r="AN70" i="2" s="1"/>
  <c r="AS70" i="2" s="1"/>
  <c r="AT70" i="2" s="1"/>
  <c r="AY70" i="2" s="1"/>
  <c r="AZ70" i="2" s="1"/>
  <c r="BE70" i="2" s="1"/>
  <c r="BF70" i="2" s="1"/>
  <c r="AA69" i="2"/>
  <c r="AB69" i="2" s="1"/>
  <c r="AG69" i="2" s="1"/>
  <c r="AH69" i="2" s="1"/>
  <c r="AM69" i="2" s="1"/>
  <c r="AN69" i="2" s="1"/>
  <c r="AS69" i="2" s="1"/>
  <c r="AT69" i="2" s="1"/>
  <c r="AY69" i="2" s="1"/>
  <c r="AZ69" i="2" s="1"/>
  <c r="BE69" i="2" s="1"/>
  <c r="BF69" i="2" s="1"/>
  <c r="AA68" i="2"/>
  <c r="AB68" i="2" s="1"/>
  <c r="AG68" i="2" s="1"/>
  <c r="AH68" i="2" s="1"/>
  <c r="AM68" i="2" s="1"/>
  <c r="AN68" i="2" s="1"/>
  <c r="AS68" i="2" s="1"/>
  <c r="AT68" i="2" s="1"/>
  <c r="AY68" i="2" s="1"/>
  <c r="AZ68" i="2" s="1"/>
  <c r="BE68" i="2" s="1"/>
  <c r="BF68" i="2" s="1"/>
  <c r="AA66" i="2"/>
  <c r="AB66" i="2" s="1"/>
  <c r="AG66" i="2" s="1"/>
  <c r="AH66" i="2" s="1"/>
  <c r="AM66" i="2" s="1"/>
  <c r="AN66" i="2" s="1"/>
  <c r="AS66" i="2" s="1"/>
  <c r="AT66" i="2" s="1"/>
  <c r="AY66" i="2" s="1"/>
  <c r="AZ66" i="2" s="1"/>
  <c r="BE66" i="2" s="1"/>
  <c r="BF66" i="2" s="1"/>
  <c r="AA65" i="2"/>
  <c r="AB65" i="2" s="1"/>
  <c r="AG65" i="2" s="1"/>
  <c r="AH65" i="2" s="1"/>
  <c r="AM65" i="2" s="1"/>
  <c r="AN65" i="2" s="1"/>
  <c r="AS65" i="2" s="1"/>
  <c r="AT65" i="2" s="1"/>
  <c r="AY65" i="2" s="1"/>
  <c r="AZ65" i="2" s="1"/>
  <c r="BE65" i="2" s="1"/>
  <c r="BF65" i="2" s="1"/>
  <c r="AA64" i="2"/>
  <c r="AB64" i="2" s="1"/>
  <c r="AG64" i="2" s="1"/>
  <c r="AH64" i="2" s="1"/>
  <c r="AM64" i="2" s="1"/>
  <c r="AN64" i="2" s="1"/>
  <c r="AS64" i="2" s="1"/>
  <c r="AT64" i="2" s="1"/>
  <c r="AY64" i="2" s="1"/>
  <c r="AZ64" i="2" s="1"/>
  <c r="BE64" i="2" s="1"/>
  <c r="BF64" i="2" s="1"/>
  <c r="AA63" i="2"/>
  <c r="AB63" i="2" s="1"/>
  <c r="AG63" i="2" s="1"/>
  <c r="AH63" i="2" s="1"/>
  <c r="AM63" i="2" s="1"/>
  <c r="AN63" i="2" s="1"/>
  <c r="AS63" i="2" s="1"/>
  <c r="AT63" i="2" s="1"/>
  <c r="AY63" i="2" s="1"/>
  <c r="AZ63" i="2" s="1"/>
  <c r="BE63" i="2" s="1"/>
  <c r="BF63" i="2" s="1"/>
  <c r="AA33" i="2"/>
  <c r="AB33" i="2" s="1"/>
  <c r="AG33" i="2" s="1"/>
  <c r="AH33" i="2" s="1"/>
  <c r="AM33" i="2" s="1"/>
  <c r="AN33" i="2" s="1"/>
  <c r="AS33" i="2" s="1"/>
  <c r="AT33" i="2" s="1"/>
  <c r="AY33" i="2" s="1"/>
  <c r="AZ33" i="2" s="1"/>
  <c r="BE33" i="2" s="1"/>
  <c r="BF33" i="2" s="1"/>
  <c r="BK33" i="2" s="1"/>
  <c r="BL33" i="2" s="1"/>
  <c r="BQ33" i="2" s="1"/>
  <c r="BR33" i="2" s="1"/>
  <c r="BW33" i="2" s="1"/>
  <c r="BX33" i="2" s="1"/>
  <c r="CC33" i="2" s="1"/>
  <c r="CD33" i="2" s="1"/>
  <c r="CI33" i="2" s="1"/>
  <c r="CJ33" i="2" s="1"/>
  <c r="CO33" i="2" s="1"/>
  <c r="CP33" i="2" s="1"/>
  <c r="CU33" i="2" s="1"/>
  <c r="CV33" i="2" s="1"/>
  <c r="DA33" i="2" s="1"/>
  <c r="DB33" i="2" s="1"/>
  <c r="DG33" i="2" s="1"/>
  <c r="DH33" i="2" s="1"/>
  <c r="DM33" i="2" s="1"/>
  <c r="DN33" i="2" s="1"/>
  <c r="DS33" i="2" s="1"/>
  <c r="DT33" i="2" s="1"/>
  <c r="DY33" i="2" s="1"/>
  <c r="DZ33" i="2" s="1"/>
  <c r="EE33" i="2" s="1"/>
  <c r="EF33" i="2" s="1"/>
  <c r="EK33" i="2" s="1"/>
  <c r="EL33" i="2" s="1"/>
  <c r="EQ33" i="2" s="1"/>
  <c r="ER33" i="2" s="1"/>
  <c r="EW33" i="2" s="1"/>
  <c r="EX33" i="2" s="1"/>
  <c r="FC33" i="2" s="1"/>
  <c r="FD33" i="2" s="1"/>
  <c r="FI33" i="2" s="1"/>
  <c r="FJ33" i="2" s="1"/>
  <c r="FO33" i="2" s="1"/>
  <c r="FP33" i="2" s="1"/>
  <c r="FU33" i="2" s="1"/>
  <c r="FV33" i="2" s="1"/>
  <c r="GA33" i="2" s="1"/>
  <c r="GB33" i="2" s="1"/>
  <c r="GG33" i="2" s="1"/>
  <c r="GH33" i="2" s="1"/>
  <c r="GM33" i="2" s="1"/>
  <c r="GR33" i="2" s="1"/>
  <c r="AA32" i="2"/>
  <c r="AB32" i="2" s="1"/>
  <c r="AG32" i="2" s="1"/>
  <c r="AH32" i="2" s="1"/>
  <c r="AM32" i="2" s="1"/>
  <c r="AN32" i="2" s="1"/>
  <c r="AS32" i="2" s="1"/>
  <c r="AT32" i="2" s="1"/>
  <c r="AY32" i="2" s="1"/>
  <c r="AZ32" i="2" s="1"/>
  <c r="BE32" i="2" s="1"/>
  <c r="BF32" i="2" s="1"/>
  <c r="BK32" i="2" s="1"/>
  <c r="BL32" i="2" s="1"/>
  <c r="BQ32" i="2" s="1"/>
  <c r="BR32" i="2" s="1"/>
  <c r="BW32" i="2" s="1"/>
  <c r="BX32" i="2" s="1"/>
  <c r="CC32" i="2" s="1"/>
  <c r="CD32" i="2" s="1"/>
  <c r="CI32" i="2" s="1"/>
  <c r="CJ32" i="2" s="1"/>
  <c r="CO32" i="2" s="1"/>
  <c r="CP32" i="2" s="1"/>
  <c r="CU32" i="2" s="1"/>
  <c r="CV32" i="2" s="1"/>
  <c r="DA32" i="2" s="1"/>
  <c r="DB32" i="2" s="1"/>
  <c r="DG32" i="2" s="1"/>
  <c r="DH32" i="2" s="1"/>
  <c r="DM32" i="2" s="1"/>
  <c r="DN32" i="2" s="1"/>
  <c r="DS32" i="2" s="1"/>
  <c r="DT32" i="2" s="1"/>
  <c r="DY32" i="2" s="1"/>
  <c r="DZ32" i="2" s="1"/>
  <c r="EE32" i="2" s="1"/>
  <c r="EF32" i="2" s="1"/>
  <c r="EK32" i="2" s="1"/>
  <c r="EL32" i="2" s="1"/>
  <c r="EQ32" i="2" s="1"/>
  <c r="ER32" i="2" s="1"/>
  <c r="EW32" i="2" s="1"/>
  <c r="EX32" i="2" s="1"/>
  <c r="FC32" i="2" s="1"/>
  <c r="FD32" i="2" s="1"/>
  <c r="FI32" i="2" s="1"/>
  <c r="FJ32" i="2" s="1"/>
  <c r="FO32" i="2" s="1"/>
  <c r="FP32" i="2" s="1"/>
  <c r="FU32" i="2" s="1"/>
  <c r="FV32" i="2" s="1"/>
  <c r="GA32" i="2" s="1"/>
  <c r="GB32" i="2" s="1"/>
  <c r="GG32" i="2" s="1"/>
  <c r="GH32" i="2" s="1"/>
  <c r="GM32" i="2" s="1"/>
  <c r="GR32" i="2" s="1"/>
  <c r="AA31" i="2"/>
  <c r="AB31" i="2" s="1"/>
  <c r="AG31" i="2" s="1"/>
  <c r="AH31" i="2" s="1"/>
  <c r="AM31" i="2" s="1"/>
  <c r="AN31" i="2" s="1"/>
  <c r="AS31" i="2" s="1"/>
  <c r="AT31" i="2" s="1"/>
  <c r="AY31" i="2" s="1"/>
  <c r="AZ31" i="2" s="1"/>
  <c r="BE31" i="2" s="1"/>
  <c r="BF31" i="2" s="1"/>
  <c r="BK31" i="2" s="1"/>
  <c r="BL31" i="2" s="1"/>
  <c r="BQ31" i="2" s="1"/>
  <c r="BR31" i="2" s="1"/>
  <c r="BW31" i="2" s="1"/>
  <c r="BX31" i="2" s="1"/>
  <c r="CC31" i="2" s="1"/>
  <c r="CD31" i="2" s="1"/>
  <c r="CI31" i="2" s="1"/>
  <c r="CJ31" i="2" s="1"/>
  <c r="CO31" i="2" s="1"/>
  <c r="CP31" i="2" s="1"/>
  <c r="CU31" i="2" s="1"/>
  <c r="CV31" i="2" s="1"/>
  <c r="DA31" i="2" s="1"/>
  <c r="DB31" i="2" s="1"/>
  <c r="DG31" i="2" s="1"/>
  <c r="DH31" i="2" s="1"/>
  <c r="DM31" i="2" s="1"/>
  <c r="DN31" i="2" s="1"/>
  <c r="DS31" i="2" s="1"/>
  <c r="DT31" i="2" s="1"/>
  <c r="DY31" i="2" s="1"/>
  <c r="DZ31" i="2" s="1"/>
  <c r="EE31" i="2" s="1"/>
  <c r="EF31" i="2" s="1"/>
  <c r="EK31" i="2" s="1"/>
  <c r="EL31" i="2" s="1"/>
  <c r="EQ31" i="2" s="1"/>
  <c r="ER31" i="2" s="1"/>
  <c r="EW31" i="2" s="1"/>
  <c r="EX31" i="2" s="1"/>
  <c r="FC31" i="2" s="1"/>
  <c r="FD31" i="2" s="1"/>
  <c r="FI31" i="2" s="1"/>
  <c r="FJ31" i="2" s="1"/>
  <c r="FO31" i="2" s="1"/>
  <c r="FP31" i="2" s="1"/>
  <c r="FU31" i="2" s="1"/>
  <c r="FV31" i="2" s="1"/>
  <c r="GA31" i="2" s="1"/>
  <c r="GB31" i="2" s="1"/>
  <c r="GG31" i="2" s="1"/>
  <c r="GH31" i="2" s="1"/>
  <c r="GM31" i="2" s="1"/>
  <c r="GR31" i="2" s="1"/>
  <c r="AA30" i="2"/>
  <c r="AB30" i="2" s="1"/>
  <c r="AG30" i="2" s="1"/>
  <c r="AH30" i="2" s="1"/>
  <c r="AM30" i="2" s="1"/>
  <c r="AN30" i="2" s="1"/>
  <c r="AS30" i="2" s="1"/>
  <c r="AT30" i="2" s="1"/>
  <c r="AY30" i="2" s="1"/>
  <c r="AZ30" i="2" s="1"/>
  <c r="BE30" i="2" s="1"/>
  <c r="BF30" i="2" s="1"/>
  <c r="BK30" i="2" s="1"/>
  <c r="BL30" i="2" s="1"/>
  <c r="BQ30" i="2" s="1"/>
  <c r="BR30" i="2" s="1"/>
  <c r="BW30" i="2" s="1"/>
  <c r="BX30" i="2" s="1"/>
  <c r="CC30" i="2" s="1"/>
  <c r="CD30" i="2" s="1"/>
  <c r="CI30" i="2" s="1"/>
  <c r="CJ30" i="2" s="1"/>
  <c r="CO30" i="2" s="1"/>
  <c r="CP30" i="2" s="1"/>
  <c r="CU30" i="2" s="1"/>
  <c r="CV30" i="2" s="1"/>
  <c r="DA30" i="2" s="1"/>
  <c r="DB30" i="2" s="1"/>
  <c r="DG30" i="2" s="1"/>
  <c r="DH30" i="2" s="1"/>
  <c r="DM30" i="2" s="1"/>
  <c r="DN30" i="2" s="1"/>
  <c r="DS30" i="2" s="1"/>
  <c r="DT30" i="2" s="1"/>
  <c r="DY30" i="2" s="1"/>
  <c r="DZ30" i="2" s="1"/>
  <c r="EE30" i="2" s="1"/>
  <c r="EF30" i="2" s="1"/>
  <c r="EK30" i="2" s="1"/>
  <c r="EL30" i="2" s="1"/>
  <c r="EQ30" i="2" s="1"/>
  <c r="ER30" i="2" s="1"/>
  <c r="EW30" i="2" s="1"/>
  <c r="EX30" i="2" s="1"/>
  <c r="FC30" i="2" s="1"/>
  <c r="FD30" i="2" s="1"/>
  <c r="FI30" i="2" s="1"/>
  <c r="FJ30" i="2" s="1"/>
  <c r="FO30" i="2" s="1"/>
  <c r="FP30" i="2" s="1"/>
  <c r="FU30" i="2" s="1"/>
  <c r="FV30" i="2" s="1"/>
  <c r="GA30" i="2" s="1"/>
  <c r="GB30" i="2" s="1"/>
  <c r="GG30" i="2" s="1"/>
  <c r="GH30" i="2" s="1"/>
  <c r="GM30" i="2" s="1"/>
  <c r="GR30" i="2" s="1"/>
  <c r="AA29" i="2"/>
  <c r="AB29" i="2" s="1"/>
  <c r="AG29" i="2" s="1"/>
  <c r="AH29" i="2" s="1"/>
  <c r="AM29" i="2" s="1"/>
  <c r="AN29" i="2" s="1"/>
  <c r="AS29" i="2" s="1"/>
  <c r="AT29" i="2" s="1"/>
  <c r="AY29" i="2" s="1"/>
  <c r="AZ29" i="2" s="1"/>
  <c r="BE29" i="2" s="1"/>
  <c r="BF29" i="2" s="1"/>
  <c r="BK29" i="2" s="1"/>
  <c r="BL29" i="2" s="1"/>
  <c r="BQ29" i="2" s="1"/>
  <c r="BR29" i="2" s="1"/>
  <c r="BW29" i="2" s="1"/>
  <c r="BX29" i="2" s="1"/>
  <c r="CC29" i="2" s="1"/>
  <c r="CD29" i="2" s="1"/>
  <c r="CI29" i="2" s="1"/>
  <c r="CJ29" i="2" s="1"/>
  <c r="CO29" i="2" s="1"/>
  <c r="CP29" i="2" s="1"/>
  <c r="CU29" i="2" s="1"/>
  <c r="CV29" i="2" s="1"/>
  <c r="DA29" i="2" s="1"/>
  <c r="DB29" i="2" s="1"/>
  <c r="DG29" i="2" s="1"/>
  <c r="DH29" i="2" s="1"/>
  <c r="DM29" i="2" s="1"/>
  <c r="DN29" i="2" s="1"/>
  <c r="DS29" i="2" s="1"/>
  <c r="DT29" i="2" s="1"/>
  <c r="DY29" i="2" s="1"/>
  <c r="DZ29" i="2" s="1"/>
  <c r="EE29" i="2" s="1"/>
  <c r="EF29" i="2" s="1"/>
  <c r="EK29" i="2" s="1"/>
  <c r="EL29" i="2" s="1"/>
  <c r="EQ29" i="2" s="1"/>
  <c r="ER29" i="2" s="1"/>
  <c r="EW29" i="2" s="1"/>
  <c r="EX29" i="2" s="1"/>
  <c r="FC29" i="2" s="1"/>
  <c r="FD29" i="2" s="1"/>
  <c r="FI29" i="2" s="1"/>
  <c r="FJ29" i="2" s="1"/>
  <c r="FO29" i="2" s="1"/>
  <c r="FP29" i="2" s="1"/>
  <c r="FU29" i="2" s="1"/>
  <c r="FV29" i="2" s="1"/>
  <c r="GA29" i="2" s="1"/>
  <c r="GB29" i="2" s="1"/>
  <c r="GG29" i="2" s="1"/>
  <c r="GH29" i="2" s="1"/>
  <c r="GM29" i="2" s="1"/>
  <c r="GR29" i="2" s="1"/>
  <c r="AA27" i="2"/>
  <c r="AB27" i="2" s="1"/>
  <c r="AG27" i="2" s="1"/>
  <c r="AH27" i="2" s="1"/>
  <c r="AM27" i="2" s="1"/>
  <c r="AN27" i="2" s="1"/>
  <c r="AS27" i="2" s="1"/>
  <c r="AT27" i="2" s="1"/>
  <c r="AY27" i="2" s="1"/>
  <c r="AZ27" i="2" s="1"/>
  <c r="BE27" i="2" s="1"/>
  <c r="BF27" i="2" s="1"/>
  <c r="BK27" i="2" s="1"/>
  <c r="BL27" i="2" s="1"/>
  <c r="BQ27" i="2" s="1"/>
  <c r="BR27" i="2" s="1"/>
  <c r="BW27" i="2" s="1"/>
  <c r="BX27" i="2" s="1"/>
  <c r="CC27" i="2" s="1"/>
  <c r="CD27" i="2" s="1"/>
  <c r="CI27" i="2" s="1"/>
  <c r="CJ27" i="2" s="1"/>
  <c r="CO27" i="2" s="1"/>
  <c r="CP27" i="2" s="1"/>
  <c r="CU27" i="2" s="1"/>
  <c r="CV27" i="2" s="1"/>
  <c r="DA27" i="2" s="1"/>
  <c r="DB27" i="2" s="1"/>
  <c r="DG27" i="2" s="1"/>
  <c r="DH27" i="2" s="1"/>
  <c r="DM27" i="2" s="1"/>
  <c r="DN27" i="2" s="1"/>
  <c r="DS27" i="2" s="1"/>
  <c r="DT27" i="2" s="1"/>
  <c r="DY27" i="2" s="1"/>
  <c r="DZ27" i="2" s="1"/>
  <c r="EE27" i="2" s="1"/>
  <c r="EF27" i="2" s="1"/>
  <c r="EK27" i="2" s="1"/>
  <c r="EL27" i="2" s="1"/>
  <c r="EQ27" i="2" s="1"/>
  <c r="ER27" i="2" s="1"/>
  <c r="EW27" i="2" s="1"/>
  <c r="EX27" i="2" s="1"/>
  <c r="FC27" i="2" s="1"/>
  <c r="FD27" i="2" s="1"/>
  <c r="FI27" i="2" s="1"/>
  <c r="FJ27" i="2" s="1"/>
  <c r="FO27" i="2" s="1"/>
  <c r="FP27" i="2" s="1"/>
  <c r="FU27" i="2" s="1"/>
  <c r="FV27" i="2" s="1"/>
  <c r="GA27" i="2" s="1"/>
  <c r="GB27" i="2" s="1"/>
  <c r="GG27" i="2" s="1"/>
  <c r="GH27" i="2" s="1"/>
  <c r="GM27" i="2" s="1"/>
  <c r="GR27" i="2" s="1"/>
  <c r="AA26" i="2"/>
  <c r="AB26" i="2" s="1"/>
  <c r="AG26" i="2" s="1"/>
  <c r="AH26" i="2" s="1"/>
  <c r="AM26" i="2" s="1"/>
  <c r="AN26" i="2" s="1"/>
  <c r="AS26" i="2" s="1"/>
  <c r="AT26" i="2" s="1"/>
  <c r="AY26" i="2" s="1"/>
  <c r="AZ26" i="2" s="1"/>
  <c r="BE26" i="2" s="1"/>
  <c r="BF26" i="2" s="1"/>
  <c r="BK26" i="2" s="1"/>
  <c r="BL26" i="2" s="1"/>
  <c r="BQ26" i="2" s="1"/>
  <c r="BR26" i="2" s="1"/>
  <c r="BW26" i="2" s="1"/>
  <c r="BX26" i="2" s="1"/>
  <c r="CC26" i="2" s="1"/>
  <c r="CD26" i="2" s="1"/>
  <c r="CI26" i="2" s="1"/>
  <c r="CJ26" i="2" s="1"/>
  <c r="CO26" i="2" s="1"/>
  <c r="CP26" i="2" s="1"/>
  <c r="CU26" i="2" s="1"/>
  <c r="CV26" i="2" s="1"/>
  <c r="DA26" i="2" s="1"/>
  <c r="DB26" i="2" s="1"/>
  <c r="DG26" i="2" s="1"/>
  <c r="DH26" i="2" s="1"/>
  <c r="DM26" i="2" s="1"/>
  <c r="DN26" i="2" s="1"/>
  <c r="DS26" i="2" s="1"/>
  <c r="DT26" i="2" s="1"/>
  <c r="DY26" i="2" s="1"/>
  <c r="DZ26" i="2" s="1"/>
  <c r="EE26" i="2" s="1"/>
  <c r="EF26" i="2" s="1"/>
  <c r="EK26" i="2" s="1"/>
  <c r="EL26" i="2" s="1"/>
  <c r="EQ26" i="2" s="1"/>
  <c r="ER26" i="2" s="1"/>
  <c r="EW26" i="2" s="1"/>
  <c r="EX26" i="2" s="1"/>
  <c r="FC26" i="2" s="1"/>
  <c r="FD26" i="2" s="1"/>
  <c r="FI26" i="2" s="1"/>
  <c r="FJ26" i="2" s="1"/>
  <c r="FO26" i="2" s="1"/>
  <c r="FP26" i="2" s="1"/>
  <c r="FU26" i="2" s="1"/>
  <c r="FV26" i="2" s="1"/>
  <c r="GA26" i="2" s="1"/>
  <c r="GB26" i="2" s="1"/>
  <c r="GG26" i="2" s="1"/>
  <c r="GH26" i="2" s="1"/>
  <c r="GM26" i="2" s="1"/>
  <c r="GR26" i="2" s="1"/>
  <c r="AA25" i="2"/>
  <c r="AB25" i="2" s="1"/>
  <c r="AG25" i="2" s="1"/>
  <c r="AH25" i="2" s="1"/>
  <c r="AM25" i="2" s="1"/>
  <c r="AN25" i="2" s="1"/>
  <c r="AS25" i="2" s="1"/>
  <c r="AT25" i="2" s="1"/>
  <c r="AY25" i="2" s="1"/>
  <c r="AZ25" i="2" s="1"/>
  <c r="BE25" i="2" s="1"/>
  <c r="BF25" i="2" s="1"/>
  <c r="BK25" i="2" s="1"/>
  <c r="BL25" i="2" s="1"/>
  <c r="BQ25" i="2" s="1"/>
  <c r="BR25" i="2" s="1"/>
  <c r="BW25" i="2" s="1"/>
  <c r="BX25" i="2" s="1"/>
  <c r="CC25" i="2" s="1"/>
  <c r="CD25" i="2" s="1"/>
  <c r="CI25" i="2" s="1"/>
  <c r="CJ25" i="2" s="1"/>
  <c r="CO25" i="2" s="1"/>
  <c r="CP25" i="2" s="1"/>
  <c r="CU25" i="2" s="1"/>
  <c r="CV25" i="2" s="1"/>
  <c r="DA25" i="2" s="1"/>
  <c r="DB25" i="2" s="1"/>
  <c r="DG25" i="2" s="1"/>
  <c r="DH25" i="2" s="1"/>
  <c r="DM25" i="2" s="1"/>
  <c r="DN25" i="2" s="1"/>
  <c r="DS25" i="2" s="1"/>
  <c r="DT25" i="2" s="1"/>
  <c r="DY25" i="2" s="1"/>
  <c r="DZ25" i="2" s="1"/>
  <c r="EE25" i="2" s="1"/>
  <c r="EF25" i="2" s="1"/>
  <c r="EK25" i="2" s="1"/>
  <c r="EL25" i="2" s="1"/>
  <c r="EQ25" i="2" s="1"/>
  <c r="ER25" i="2" s="1"/>
  <c r="EW25" i="2" s="1"/>
  <c r="EX25" i="2" s="1"/>
  <c r="FC25" i="2" s="1"/>
  <c r="FD25" i="2" s="1"/>
  <c r="FI25" i="2" s="1"/>
  <c r="FJ25" i="2" s="1"/>
  <c r="FO25" i="2" s="1"/>
  <c r="FP25" i="2" s="1"/>
  <c r="FU25" i="2" s="1"/>
  <c r="FV25" i="2" s="1"/>
  <c r="GA25" i="2" s="1"/>
  <c r="GB25" i="2" s="1"/>
  <c r="GG25" i="2" s="1"/>
  <c r="GH25" i="2" s="1"/>
  <c r="GM25" i="2" s="1"/>
  <c r="GR25" i="2" s="1"/>
  <c r="AA24" i="2"/>
  <c r="AB24" i="2" s="1"/>
  <c r="AG24" i="2" s="1"/>
  <c r="AH24" i="2" s="1"/>
  <c r="AM24" i="2" s="1"/>
  <c r="AN24" i="2" s="1"/>
  <c r="AS24" i="2" s="1"/>
  <c r="AT24" i="2" s="1"/>
  <c r="AY24" i="2" s="1"/>
  <c r="AZ24" i="2" s="1"/>
  <c r="BE24" i="2" s="1"/>
  <c r="BF24" i="2" s="1"/>
  <c r="BK24" i="2" s="1"/>
  <c r="BL24" i="2" s="1"/>
  <c r="BQ24" i="2" s="1"/>
  <c r="BR24" i="2" s="1"/>
  <c r="BW24" i="2" s="1"/>
  <c r="BX24" i="2" s="1"/>
  <c r="CC24" i="2" s="1"/>
  <c r="CD24" i="2" s="1"/>
  <c r="CI24" i="2" s="1"/>
  <c r="CJ24" i="2" s="1"/>
  <c r="CO24" i="2" s="1"/>
  <c r="CP24" i="2" s="1"/>
  <c r="CU24" i="2" s="1"/>
  <c r="CV24" i="2" s="1"/>
  <c r="DA24" i="2" s="1"/>
  <c r="DB24" i="2" s="1"/>
  <c r="DG24" i="2" s="1"/>
  <c r="DH24" i="2" s="1"/>
  <c r="DM24" i="2" s="1"/>
  <c r="DN24" i="2" s="1"/>
  <c r="DS24" i="2" s="1"/>
  <c r="DT24" i="2" s="1"/>
  <c r="DY24" i="2" s="1"/>
  <c r="DZ24" i="2" s="1"/>
  <c r="EE24" i="2" s="1"/>
  <c r="EF24" i="2" s="1"/>
  <c r="EK24" i="2" s="1"/>
  <c r="EL24" i="2" s="1"/>
  <c r="EQ24" i="2" s="1"/>
  <c r="ER24" i="2" s="1"/>
  <c r="EW24" i="2" s="1"/>
  <c r="EX24" i="2" s="1"/>
  <c r="FC24" i="2" s="1"/>
  <c r="FD24" i="2" s="1"/>
  <c r="FI24" i="2" s="1"/>
  <c r="FJ24" i="2" s="1"/>
  <c r="FO24" i="2" s="1"/>
  <c r="FP24" i="2" s="1"/>
  <c r="FU24" i="2" s="1"/>
  <c r="FV24" i="2" s="1"/>
  <c r="GA24" i="2" s="1"/>
  <c r="GB24" i="2" s="1"/>
  <c r="GG24" i="2" s="1"/>
  <c r="GH24" i="2" s="1"/>
  <c r="GM24" i="2" s="1"/>
  <c r="GR24" i="2" s="1"/>
  <c r="AA23" i="2"/>
  <c r="AB23" i="2" s="1"/>
  <c r="AG23" i="2" s="1"/>
  <c r="AH23" i="2" s="1"/>
  <c r="AM23" i="2" s="1"/>
  <c r="AN23" i="2" s="1"/>
  <c r="AS23" i="2" s="1"/>
  <c r="AT23" i="2" s="1"/>
  <c r="AY23" i="2" s="1"/>
  <c r="AZ23" i="2" s="1"/>
  <c r="BE23" i="2" s="1"/>
  <c r="BF23" i="2" s="1"/>
  <c r="BK23" i="2" s="1"/>
  <c r="BL23" i="2" s="1"/>
  <c r="BQ23" i="2" s="1"/>
  <c r="BR23" i="2" s="1"/>
  <c r="BW23" i="2" s="1"/>
  <c r="BX23" i="2" s="1"/>
  <c r="CC23" i="2" s="1"/>
  <c r="CD23" i="2" s="1"/>
  <c r="CI23" i="2" s="1"/>
  <c r="CJ23" i="2" s="1"/>
  <c r="CO23" i="2" s="1"/>
  <c r="CP23" i="2" s="1"/>
  <c r="CU23" i="2" s="1"/>
  <c r="CV23" i="2" s="1"/>
  <c r="DA23" i="2" s="1"/>
  <c r="DB23" i="2" s="1"/>
  <c r="DG23" i="2" s="1"/>
  <c r="DH23" i="2" s="1"/>
  <c r="DM23" i="2" s="1"/>
  <c r="DN23" i="2" s="1"/>
  <c r="DS23" i="2" s="1"/>
  <c r="DT23" i="2" s="1"/>
  <c r="DY23" i="2" s="1"/>
  <c r="DZ23" i="2" s="1"/>
  <c r="EE23" i="2" s="1"/>
  <c r="EF23" i="2" s="1"/>
  <c r="EK23" i="2" s="1"/>
  <c r="EL23" i="2" s="1"/>
  <c r="EQ23" i="2" s="1"/>
  <c r="ER23" i="2" s="1"/>
  <c r="EW23" i="2" s="1"/>
  <c r="EX23" i="2" s="1"/>
  <c r="FC23" i="2" s="1"/>
  <c r="FD23" i="2" s="1"/>
  <c r="FI23" i="2" s="1"/>
  <c r="FJ23" i="2" s="1"/>
  <c r="FO23" i="2" s="1"/>
  <c r="FP23" i="2" s="1"/>
  <c r="FU23" i="2" s="1"/>
  <c r="FV23" i="2" s="1"/>
  <c r="GA23" i="2" s="1"/>
  <c r="GB23" i="2" s="1"/>
  <c r="GG23" i="2" s="1"/>
  <c r="GH23" i="2" s="1"/>
  <c r="GM23" i="2" s="1"/>
  <c r="GR23" i="2" s="1"/>
  <c r="AA22" i="2"/>
  <c r="AB22" i="2" s="1"/>
  <c r="AG22" i="2" s="1"/>
  <c r="AH22" i="2" s="1"/>
  <c r="AM22" i="2" s="1"/>
  <c r="AN22" i="2" s="1"/>
  <c r="AS22" i="2" s="1"/>
  <c r="AT22" i="2" s="1"/>
  <c r="AY22" i="2" s="1"/>
  <c r="AZ22" i="2" s="1"/>
  <c r="BE22" i="2" s="1"/>
  <c r="BF22" i="2" s="1"/>
  <c r="BK22" i="2" s="1"/>
  <c r="BL22" i="2" s="1"/>
  <c r="BQ22" i="2" s="1"/>
  <c r="BR22" i="2" s="1"/>
  <c r="BW22" i="2" s="1"/>
  <c r="BX22" i="2" s="1"/>
  <c r="CC22" i="2" s="1"/>
  <c r="CD22" i="2" s="1"/>
  <c r="CI22" i="2" s="1"/>
  <c r="CJ22" i="2" s="1"/>
  <c r="CO22" i="2" s="1"/>
  <c r="CP22" i="2" s="1"/>
  <c r="CU22" i="2" s="1"/>
  <c r="CV22" i="2" s="1"/>
  <c r="DA22" i="2" s="1"/>
  <c r="DB22" i="2" s="1"/>
  <c r="DG22" i="2" s="1"/>
  <c r="DH22" i="2" s="1"/>
  <c r="DM22" i="2" s="1"/>
  <c r="DN22" i="2" s="1"/>
  <c r="DS22" i="2" s="1"/>
  <c r="DT22" i="2" s="1"/>
  <c r="DY22" i="2" s="1"/>
  <c r="DZ22" i="2" s="1"/>
  <c r="EE22" i="2" s="1"/>
  <c r="EF22" i="2" s="1"/>
  <c r="EK22" i="2" s="1"/>
  <c r="EL22" i="2" s="1"/>
  <c r="EQ22" i="2" s="1"/>
  <c r="ER22" i="2" s="1"/>
  <c r="EW22" i="2" s="1"/>
  <c r="EX22" i="2" s="1"/>
  <c r="FC22" i="2" s="1"/>
  <c r="FD22" i="2" s="1"/>
  <c r="FI22" i="2" s="1"/>
  <c r="FJ22" i="2" s="1"/>
  <c r="FO22" i="2" s="1"/>
  <c r="FP22" i="2" s="1"/>
  <c r="FU22" i="2" s="1"/>
  <c r="FV22" i="2" s="1"/>
  <c r="GA22" i="2" s="1"/>
  <c r="GB22" i="2" s="1"/>
  <c r="GG22" i="2" s="1"/>
  <c r="GH22" i="2" s="1"/>
  <c r="GM22" i="2" s="1"/>
  <c r="GR22" i="2" s="1"/>
  <c r="AA21" i="2"/>
  <c r="AB21" i="2" s="1"/>
  <c r="AG21" i="2" s="1"/>
  <c r="AH21" i="2" s="1"/>
  <c r="AM21" i="2" s="1"/>
  <c r="AN21" i="2" s="1"/>
  <c r="AS21" i="2" s="1"/>
  <c r="AT21" i="2" s="1"/>
  <c r="AY21" i="2" s="1"/>
  <c r="AZ21" i="2" s="1"/>
  <c r="BE21" i="2" s="1"/>
  <c r="BF21" i="2" s="1"/>
  <c r="BK21" i="2" s="1"/>
  <c r="BL21" i="2" s="1"/>
  <c r="BQ21" i="2" s="1"/>
  <c r="BR21" i="2" s="1"/>
  <c r="BW21" i="2" s="1"/>
  <c r="BX21" i="2" s="1"/>
  <c r="CC21" i="2" s="1"/>
  <c r="CD21" i="2" s="1"/>
  <c r="CI21" i="2" s="1"/>
  <c r="CJ21" i="2" s="1"/>
  <c r="CO21" i="2" s="1"/>
  <c r="CP21" i="2" s="1"/>
  <c r="CU21" i="2" s="1"/>
  <c r="CV21" i="2" s="1"/>
  <c r="DA21" i="2" s="1"/>
  <c r="DB21" i="2" s="1"/>
  <c r="DG21" i="2" s="1"/>
  <c r="DH21" i="2" s="1"/>
  <c r="DM21" i="2" s="1"/>
  <c r="DN21" i="2" s="1"/>
  <c r="DS21" i="2" s="1"/>
  <c r="DT21" i="2" s="1"/>
  <c r="DY21" i="2" s="1"/>
  <c r="DZ21" i="2" s="1"/>
  <c r="EE21" i="2" s="1"/>
  <c r="EF21" i="2" s="1"/>
  <c r="EK21" i="2" s="1"/>
  <c r="EL21" i="2" s="1"/>
  <c r="EQ21" i="2" s="1"/>
  <c r="ER21" i="2" s="1"/>
  <c r="EW21" i="2" s="1"/>
  <c r="EX21" i="2" s="1"/>
  <c r="FC21" i="2" s="1"/>
  <c r="FD21" i="2" s="1"/>
  <c r="FI21" i="2" s="1"/>
  <c r="FJ21" i="2" s="1"/>
  <c r="FO21" i="2" s="1"/>
  <c r="FP21" i="2" s="1"/>
  <c r="FU21" i="2" s="1"/>
  <c r="FV21" i="2" s="1"/>
  <c r="GA21" i="2" s="1"/>
  <c r="GB21" i="2" s="1"/>
  <c r="GG21" i="2" s="1"/>
  <c r="GH21" i="2" s="1"/>
  <c r="GM21" i="2" s="1"/>
  <c r="GR21" i="2" s="1"/>
  <c r="AA20" i="2"/>
  <c r="AB20" i="2" s="1"/>
  <c r="AG20" i="2" s="1"/>
  <c r="AH20" i="2" s="1"/>
  <c r="AM20" i="2" s="1"/>
  <c r="AN20" i="2" s="1"/>
  <c r="AS20" i="2" s="1"/>
  <c r="AT20" i="2" s="1"/>
  <c r="AY20" i="2" s="1"/>
  <c r="AZ20" i="2" s="1"/>
  <c r="BE20" i="2" s="1"/>
  <c r="BF20" i="2" s="1"/>
  <c r="BK20" i="2" s="1"/>
  <c r="BL20" i="2" s="1"/>
  <c r="BQ20" i="2" s="1"/>
  <c r="BR20" i="2" s="1"/>
  <c r="BW20" i="2" s="1"/>
  <c r="BX20" i="2" s="1"/>
  <c r="CC20" i="2" s="1"/>
  <c r="CD20" i="2" s="1"/>
  <c r="CI20" i="2" s="1"/>
  <c r="CJ20" i="2" s="1"/>
  <c r="CO20" i="2" s="1"/>
  <c r="CP20" i="2" s="1"/>
  <c r="CU20" i="2" s="1"/>
  <c r="CV20" i="2" s="1"/>
  <c r="DA20" i="2" s="1"/>
  <c r="DB20" i="2" s="1"/>
  <c r="DG20" i="2" s="1"/>
  <c r="DH20" i="2" s="1"/>
  <c r="DM20" i="2" s="1"/>
  <c r="DN20" i="2" s="1"/>
  <c r="DS20" i="2" s="1"/>
  <c r="DT20" i="2" s="1"/>
  <c r="DY20" i="2" s="1"/>
  <c r="DZ20" i="2" s="1"/>
  <c r="EE20" i="2" s="1"/>
  <c r="EF20" i="2" s="1"/>
  <c r="EK20" i="2" s="1"/>
  <c r="EL20" i="2" s="1"/>
  <c r="EQ20" i="2" s="1"/>
  <c r="ER20" i="2" s="1"/>
  <c r="EW20" i="2" s="1"/>
  <c r="EX20" i="2" s="1"/>
  <c r="FC20" i="2" s="1"/>
  <c r="FD20" i="2" s="1"/>
  <c r="FI20" i="2" s="1"/>
  <c r="FJ20" i="2" s="1"/>
  <c r="FO20" i="2" s="1"/>
  <c r="FP20" i="2" s="1"/>
  <c r="FU20" i="2" s="1"/>
  <c r="FV20" i="2" s="1"/>
  <c r="GA20" i="2" s="1"/>
  <c r="GB20" i="2" s="1"/>
  <c r="GG20" i="2" s="1"/>
  <c r="GH20" i="2" s="1"/>
  <c r="GM20" i="2" s="1"/>
  <c r="GR20" i="2" s="1"/>
  <c r="GQ29" i="2"/>
  <c r="GQ22" i="2"/>
  <c r="GQ15" i="2"/>
  <c r="AG11" i="2"/>
  <c r="AH11" i="2" s="1"/>
  <c r="AM11" i="2" s="1"/>
  <c r="AN11" i="2" s="1"/>
  <c r="AS11" i="2" s="1"/>
  <c r="AT11" i="2" s="1"/>
  <c r="AY11" i="2" s="1"/>
  <c r="AZ11" i="2" s="1"/>
  <c r="BE11" i="2" s="1"/>
  <c r="BF11" i="2" s="1"/>
  <c r="BK11" i="2" s="1"/>
  <c r="BL11" i="2" s="1"/>
  <c r="BQ11" i="2" s="1"/>
  <c r="BR11" i="2" s="1"/>
  <c r="BW11" i="2" s="1"/>
  <c r="BX11" i="2" s="1"/>
  <c r="CC11" i="2" s="1"/>
  <c r="CD11" i="2" s="1"/>
  <c r="CI11" i="2" s="1"/>
  <c r="CJ11" i="2" s="1"/>
  <c r="CO11" i="2" s="1"/>
  <c r="CP11" i="2" s="1"/>
  <c r="CU11" i="2" s="1"/>
  <c r="CV11" i="2" s="1"/>
  <c r="DA11" i="2" s="1"/>
  <c r="DB11" i="2" s="1"/>
  <c r="DG11" i="2" s="1"/>
  <c r="DH11" i="2" s="1"/>
  <c r="DM11" i="2" s="1"/>
  <c r="DN11" i="2" s="1"/>
  <c r="DS11" i="2" s="1"/>
  <c r="DT11" i="2" s="1"/>
  <c r="DY11" i="2" s="1"/>
  <c r="DZ11" i="2" s="1"/>
  <c r="EE11" i="2" s="1"/>
  <c r="EF11" i="2" s="1"/>
  <c r="EK11" i="2" s="1"/>
  <c r="EL11" i="2" s="1"/>
  <c r="EQ11" i="2" s="1"/>
  <c r="ER11" i="2" s="1"/>
  <c r="EW11" i="2" s="1"/>
  <c r="EX11" i="2" s="1"/>
  <c r="FC11" i="2" s="1"/>
  <c r="FD11" i="2" s="1"/>
  <c r="FI11" i="2" s="1"/>
  <c r="FJ11" i="2" s="1"/>
  <c r="FO11" i="2" s="1"/>
  <c r="FP11" i="2" s="1"/>
  <c r="FU11" i="2" s="1"/>
  <c r="FV11" i="2" s="1"/>
  <c r="GA11" i="2" s="1"/>
  <c r="GB11" i="2" s="1"/>
  <c r="GG11" i="2" s="1"/>
  <c r="GH11" i="2" s="1"/>
  <c r="GM11" i="2" s="1"/>
  <c r="GR11" i="2" s="1"/>
  <c r="AG13" i="2"/>
  <c r="AH13" i="2" s="1"/>
  <c r="AM13" i="2" s="1"/>
  <c r="AN13" i="2" s="1"/>
  <c r="AS13" i="2" s="1"/>
  <c r="AT13" i="2" s="1"/>
  <c r="AY13" i="2" s="1"/>
  <c r="AZ13" i="2" s="1"/>
  <c r="BE13" i="2" s="1"/>
  <c r="BF13" i="2" s="1"/>
  <c r="BK13" i="2" s="1"/>
  <c r="BL13" i="2" s="1"/>
  <c r="BQ13" i="2" s="1"/>
  <c r="BR13" i="2" s="1"/>
  <c r="BW13" i="2" s="1"/>
  <c r="BX13" i="2" s="1"/>
  <c r="CC13" i="2" s="1"/>
  <c r="CD13" i="2" s="1"/>
  <c r="CI13" i="2" s="1"/>
  <c r="CJ13" i="2" s="1"/>
  <c r="CO13" i="2" s="1"/>
  <c r="CP13" i="2" s="1"/>
  <c r="CU13" i="2" s="1"/>
  <c r="CV13" i="2" s="1"/>
  <c r="DA13" i="2" s="1"/>
  <c r="DB13" i="2" s="1"/>
  <c r="DG13" i="2" s="1"/>
  <c r="DH13" i="2" s="1"/>
  <c r="DM13" i="2" s="1"/>
  <c r="DN13" i="2" s="1"/>
  <c r="DS13" i="2" s="1"/>
  <c r="DT13" i="2" s="1"/>
  <c r="DY13" i="2" s="1"/>
  <c r="DZ13" i="2" s="1"/>
  <c r="EE13" i="2" s="1"/>
  <c r="EF13" i="2" s="1"/>
  <c r="EK13" i="2" s="1"/>
  <c r="EL13" i="2" s="1"/>
  <c r="EQ13" i="2" s="1"/>
  <c r="ER13" i="2" s="1"/>
  <c r="EW13" i="2" s="1"/>
  <c r="EX13" i="2" s="1"/>
  <c r="FC13" i="2" s="1"/>
  <c r="FD13" i="2" s="1"/>
  <c r="FI13" i="2" s="1"/>
  <c r="FJ13" i="2" s="1"/>
  <c r="FO13" i="2" s="1"/>
  <c r="FP13" i="2" s="1"/>
  <c r="FU13" i="2" s="1"/>
  <c r="FV13" i="2" s="1"/>
  <c r="GA13" i="2" s="1"/>
  <c r="GB13" i="2" s="1"/>
  <c r="GG13" i="2" s="1"/>
  <c r="GH13" i="2" s="1"/>
  <c r="GM13" i="2" s="1"/>
  <c r="GR13" i="2" s="1"/>
  <c r="AG34" i="2"/>
  <c r="AH34" i="2" s="1"/>
  <c r="AM34" i="2" s="1"/>
  <c r="AN34" i="2" s="1"/>
  <c r="AS34" i="2" s="1"/>
  <c r="AT34" i="2" s="1"/>
  <c r="AY34" i="2" s="1"/>
  <c r="AZ34" i="2" s="1"/>
  <c r="BE34" i="2" s="1"/>
  <c r="BF34" i="2" s="1"/>
  <c r="AG61" i="2"/>
  <c r="AH61" i="2" s="1"/>
  <c r="AM61" i="2" s="1"/>
  <c r="AN61" i="2" s="1"/>
  <c r="AS61" i="2" s="1"/>
  <c r="AT61" i="2" s="1"/>
  <c r="AY61" i="2" s="1"/>
  <c r="AZ61" i="2" s="1"/>
  <c r="BE61" i="2" s="1"/>
  <c r="BF61" i="2" s="1"/>
  <c r="AG60" i="2"/>
  <c r="AH60" i="2" s="1"/>
  <c r="AM60" i="2" s="1"/>
  <c r="AN60" i="2" s="1"/>
  <c r="AS60" i="2" s="1"/>
  <c r="AT60" i="2" s="1"/>
  <c r="AY60" i="2" s="1"/>
  <c r="AZ60" i="2" s="1"/>
  <c r="BE60" i="2" s="1"/>
  <c r="BF60" i="2" s="1"/>
  <c r="AG59" i="2"/>
  <c r="AH59" i="2" s="1"/>
  <c r="AM59" i="2" s="1"/>
  <c r="AN59" i="2" s="1"/>
  <c r="AS59" i="2" s="1"/>
  <c r="AT59" i="2" s="1"/>
  <c r="AY59" i="2" s="1"/>
  <c r="AZ59" i="2" s="1"/>
  <c r="BE59" i="2" s="1"/>
  <c r="BF59" i="2" s="1"/>
  <c r="AG58" i="2"/>
  <c r="AH58" i="2" s="1"/>
  <c r="AM58" i="2" s="1"/>
  <c r="AN58" i="2" s="1"/>
  <c r="AS58" i="2" s="1"/>
  <c r="AT58" i="2" s="1"/>
  <c r="AY58" i="2" s="1"/>
  <c r="AZ58" i="2" s="1"/>
  <c r="BE58" i="2" s="1"/>
  <c r="BF58" i="2" s="1"/>
  <c r="AG57" i="2"/>
  <c r="AH57" i="2" s="1"/>
  <c r="AM57" i="2" s="1"/>
  <c r="AN57" i="2" s="1"/>
  <c r="AS57" i="2" s="1"/>
  <c r="AT57" i="2" s="1"/>
  <c r="AY57" i="2" s="1"/>
  <c r="AZ57" i="2" s="1"/>
  <c r="BE57" i="2" s="1"/>
  <c r="BF57" i="2" s="1"/>
  <c r="AG56" i="2"/>
  <c r="AH56" i="2" s="1"/>
  <c r="AM56" i="2" s="1"/>
  <c r="AN56" i="2" s="1"/>
  <c r="AS56" i="2" s="1"/>
  <c r="AT56" i="2" s="1"/>
  <c r="AY56" i="2" s="1"/>
  <c r="AZ56" i="2" s="1"/>
  <c r="BE56" i="2" s="1"/>
  <c r="BF56" i="2" s="1"/>
  <c r="AG55" i="2"/>
  <c r="AH55" i="2" s="1"/>
  <c r="AM55" i="2" s="1"/>
  <c r="AN55" i="2" s="1"/>
  <c r="AS55" i="2" s="1"/>
  <c r="AT55" i="2" s="1"/>
  <c r="AY55" i="2" s="1"/>
  <c r="AZ55" i="2" s="1"/>
  <c r="BE55" i="2" s="1"/>
  <c r="BF55" i="2" s="1"/>
  <c r="AG54" i="2"/>
  <c r="AH54" i="2" s="1"/>
  <c r="AM54" i="2" s="1"/>
  <c r="AN54" i="2" s="1"/>
  <c r="AS54" i="2" s="1"/>
  <c r="AT54" i="2" s="1"/>
  <c r="AY54" i="2" s="1"/>
  <c r="AZ54" i="2" s="1"/>
  <c r="BE54" i="2" s="1"/>
  <c r="BF54" i="2" s="1"/>
  <c r="AG53" i="2"/>
  <c r="AH53" i="2" s="1"/>
  <c r="AM53" i="2" s="1"/>
  <c r="AN53" i="2" s="1"/>
  <c r="AS53" i="2" s="1"/>
  <c r="AT53" i="2" s="1"/>
  <c r="AY53" i="2" s="1"/>
  <c r="AZ53" i="2" s="1"/>
  <c r="BE53" i="2" s="1"/>
  <c r="BF53" i="2" s="1"/>
  <c r="AG52" i="2"/>
  <c r="AH52" i="2" s="1"/>
  <c r="AM52" i="2" s="1"/>
  <c r="AN52" i="2" s="1"/>
  <c r="AS52" i="2" s="1"/>
  <c r="AT52" i="2" s="1"/>
  <c r="AY52" i="2" s="1"/>
  <c r="AZ52" i="2" s="1"/>
  <c r="BE52" i="2" s="1"/>
  <c r="BF52" i="2" s="1"/>
  <c r="AG51" i="2"/>
  <c r="AH51" i="2" s="1"/>
  <c r="AM51" i="2" s="1"/>
  <c r="AN51" i="2" s="1"/>
  <c r="AS51" i="2" s="1"/>
  <c r="AT51" i="2" s="1"/>
  <c r="AY51" i="2" s="1"/>
  <c r="AZ51" i="2" s="1"/>
  <c r="BE51" i="2" s="1"/>
  <c r="BF51" i="2" s="1"/>
  <c r="AG50" i="2"/>
  <c r="AH50" i="2" s="1"/>
  <c r="AM50" i="2" s="1"/>
  <c r="AN50" i="2" s="1"/>
  <c r="AS50" i="2" s="1"/>
  <c r="AT50" i="2" s="1"/>
  <c r="AY50" i="2" s="1"/>
  <c r="AZ50" i="2" s="1"/>
  <c r="BE50" i="2" s="1"/>
  <c r="BF50" i="2" s="1"/>
  <c r="AG35" i="2"/>
  <c r="AH35" i="2" s="1"/>
  <c r="AM35" i="2" s="1"/>
  <c r="AN35" i="2" s="1"/>
  <c r="AS35" i="2" s="1"/>
  <c r="AT35" i="2" s="1"/>
  <c r="AY35" i="2" s="1"/>
  <c r="AZ35" i="2" s="1"/>
  <c r="BE35" i="2" s="1"/>
  <c r="BF35" i="2" s="1"/>
  <c r="AG62" i="2"/>
  <c r="AH62" i="2" s="1"/>
  <c r="AM62" i="2" s="1"/>
  <c r="AN62" i="2" s="1"/>
  <c r="AS62" i="2" s="1"/>
  <c r="AT62" i="2" s="1"/>
  <c r="AY62" i="2" s="1"/>
  <c r="AZ62" i="2" s="1"/>
  <c r="BE62" i="2" s="1"/>
  <c r="BF62" i="2" s="1"/>
  <c r="AG67" i="2"/>
  <c r="AH67" i="2" s="1"/>
  <c r="AM67" i="2" s="1"/>
  <c r="AN67" i="2" s="1"/>
  <c r="AS67" i="2" s="1"/>
  <c r="AT67" i="2" s="1"/>
  <c r="AY67" i="2" s="1"/>
  <c r="AZ67" i="2" s="1"/>
  <c r="BE67" i="2" s="1"/>
  <c r="BF67" i="2" s="1"/>
  <c r="AG75" i="2"/>
  <c r="AH75" i="2" s="1"/>
  <c r="AM75" i="2" s="1"/>
  <c r="AN75" i="2" s="1"/>
  <c r="AS75" i="2" s="1"/>
  <c r="AT75" i="2" s="1"/>
  <c r="AY75" i="2" s="1"/>
  <c r="AZ75" i="2" s="1"/>
  <c r="BE75" i="2" s="1"/>
  <c r="BF75" i="2" s="1"/>
  <c r="GQ28" i="2"/>
  <c r="P28" i="2"/>
  <c r="U28" i="2" s="1"/>
  <c r="V28" i="2" s="1"/>
  <c r="AA28" i="2" s="1"/>
  <c r="AB28" i="2" s="1"/>
  <c r="AG28" i="2" s="1"/>
  <c r="AH28" i="2" s="1"/>
  <c r="AM28" i="2" s="1"/>
  <c r="AN28" i="2" s="1"/>
  <c r="AS28" i="2" s="1"/>
  <c r="AT28" i="2" s="1"/>
  <c r="AY28" i="2" s="1"/>
  <c r="AZ28" i="2" s="1"/>
  <c r="BE28" i="2" s="1"/>
  <c r="BF28" i="2" s="1"/>
  <c r="BK28" i="2" s="1"/>
  <c r="BL28" i="2" s="1"/>
  <c r="BQ28" i="2" s="1"/>
  <c r="BR28" i="2" s="1"/>
  <c r="BW28" i="2" s="1"/>
  <c r="BX28" i="2" s="1"/>
  <c r="CC28" i="2" s="1"/>
  <c r="CD28" i="2" s="1"/>
  <c r="CI28" i="2" s="1"/>
  <c r="CJ28" i="2" s="1"/>
  <c r="CO28" i="2" s="1"/>
  <c r="CP28" i="2" s="1"/>
  <c r="CU28" i="2" s="1"/>
  <c r="CV28" i="2" s="1"/>
  <c r="DA28" i="2" s="1"/>
  <c r="DB28" i="2" s="1"/>
  <c r="DG28" i="2" s="1"/>
  <c r="DH28" i="2" s="1"/>
  <c r="DM28" i="2" s="1"/>
  <c r="DN28" i="2" s="1"/>
  <c r="DS28" i="2" s="1"/>
  <c r="DT28" i="2" s="1"/>
  <c r="DY28" i="2" s="1"/>
  <c r="DZ28" i="2" s="1"/>
  <c r="EE28" i="2" s="1"/>
  <c r="EF28" i="2" s="1"/>
  <c r="EK28" i="2" s="1"/>
  <c r="EL28" i="2" s="1"/>
  <c r="EQ28" i="2" s="1"/>
  <c r="ER28" i="2" s="1"/>
  <c r="EW28" i="2" s="1"/>
  <c r="EX28" i="2" s="1"/>
  <c r="FC28" i="2" s="1"/>
  <c r="FD28" i="2" s="1"/>
  <c r="FI28" i="2" s="1"/>
  <c r="FJ28" i="2" s="1"/>
  <c r="FO28" i="2" s="1"/>
  <c r="FP28" i="2" s="1"/>
  <c r="FU28" i="2" s="1"/>
  <c r="FV28" i="2" s="1"/>
  <c r="GA28" i="2" s="1"/>
  <c r="GB28" i="2" s="1"/>
  <c r="GG28" i="2" s="1"/>
  <c r="GH28" i="2" s="1"/>
  <c r="GM28" i="2" s="1"/>
  <c r="GR28" i="2" s="1"/>
  <c r="GQ18" i="2"/>
  <c r="P76" i="2"/>
  <c r="U76" i="2" s="1"/>
  <c r="V76" i="2" s="1"/>
  <c r="P96" i="2"/>
  <c r="GQ21" i="2"/>
  <c r="P87" i="2"/>
  <c r="U87" i="2" s="1"/>
  <c r="V87" i="2" s="1"/>
  <c r="AA87" i="2" s="1"/>
  <c r="AB87" i="2" s="1"/>
  <c r="AG87" i="2" s="1"/>
  <c r="AH87" i="2" s="1"/>
  <c r="AM87" i="2" s="1"/>
  <c r="AN87" i="2" s="1"/>
  <c r="AS87" i="2" s="1"/>
  <c r="AT87" i="2" s="1"/>
  <c r="AY87" i="2" s="1"/>
  <c r="AZ87" i="2" s="1"/>
  <c r="BE87" i="2" s="1"/>
  <c r="BF87" i="2" s="1"/>
  <c r="P88" i="2"/>
  <c r="U88" i="2" s="1"/>
  <c r="V88" i="2" s="1"/>
  <c r="AA88" i="2" s="1"/>
  <c r="AB88" i="2" s="1"/>
  <c r="AG88" i="2" s="1"/>
  <c r="AH88" i="2" s="1"/>
  <c r="AM88" i="2" s="1"/>
  <c r="AN88" i="2" s="1"/>
  <c r="AS88" i="2" s="1"/>
  <c r="AT88" i="2" s="1"/>
  <c r="AY88" i="2" s="1"/>
  <c r="AZ88" i="2" s="1"/>
  <c r="BE88" i="2" s="1"/>
  <c r="BF88" i="2" s="1"/>
  <c r="P89" i="2"/>
  <c r="U89" i="2" s="1"/>
  <c r="V89" i="2" s="1"/>
  <c r="AA89" i="2" s="1"/>
  <c r="AB89" i="2" s="1"/>
  <c r="AG89" i="2" s="1"/>
  <c r="AH89" i="2" s="1"/>
  <c r="AM89" i="2" s="1"/>
  <c r="AN89" i="2" s="1"/>
  <c r="AS89" i="2" s="1"/>
  <c r="AT89" i="2" s="1"/>
  <c r="AY89" i="2" s="1"/>
  <c r="AZ89" i="2" s="1"/>
  <c r="BE89" i="2" s="1"/>
  <c r="BF89" i="2" s="1"/>
  <c r="P90" i="2"/>
  <c r="U90" i="2" s="1"/>
  <c r="V90" i="2" s="1"/>
  <c r="AA90" i="2" s="1"/>
  <c r="AB90" i="2" s="1"/>
  <c r="AG90" i="2" s="1"/>
  <c r="AH90" i="2" s="1"/>
  <c r="AM90" i="2" s="1"/>
  <c r="AN90" i="2" s="1"/>
  <c r="AS90" i="2" s="1"/>
  <c r="AT90" i="2" s="1"/>
  <c r="AY90" i="2" s="1"/>
  <c r="AZ90" i="2" s="1"/>
  <c r="BE90" i="2" s="1"/>
  <c r="BF90" i="2" s="1"/>
  <c r="P91" i="2"/>
  <c r="U91" i="2" s="1"/>
  <c r="V91" i="2" s="1"/>
  <c r="AA91" i="2" s="1"/>
  <c r="AB91" i="2" s="1"/>
  <c r="AG91" i="2" s="1"/>
  <c r="AH91" i="2" s="1"/>
  <c r="AM91" i="2" s="1"/>
  <c r="AN91" i="2" s="1"/>
  <c r="AS91" i="2" s="1"/>
  <c r="AT91" i="2" s="1"/>
  <c r="AY91" i="2" s="1"/>
  <c r="AZ91" i="2" s="1"/>
  <c r="BE91" i="2" s="1"/>
  <c r="BF91" i="2" s="1"/>
  <c r="P92" i="2"/>
  <c r="U92" i="2" s="1"/>
  <c r="V92" i="2" s="1"/>
  <c r="AA92" i="2" s="1"/>
  <c r="AB92" i="2" s="1"/>
  <c r="AG92" i="2" s="1"/>
  <c r="AH92" i="2" s="1"/>
  <c r="AM92" i="2" s="1"/>
  <c r="AN92" i="2" s="1"/>
  <c r="AS92" i="2" s="1"/>
  <c r="AT92" i="2" s="1"/>
  <c r="AY92" i="2" s="1"/>
  <c r="AZ92" i="2" s="1"/>
  <c r="BE92" i="2" s="1"/>
  <c r="BF92" i="2" s="1"/>
  <c r="P93" i="2"/>
  <c r="U93" i="2" s="1"/>
  <c r="V93" i="2" s="1"/>
  <c r="AA93" i="2" s="1"/>
  <c r="AB93" i="2" s="1"/>
  <c r="AG93" i="2" s="1"/>
  <c r="AH93" i="2" s="1"/>
  <c r="AM93" i="2" s="1"/>
  <c r="AN93" i="2" s="1"/>
  <c r="AS93" i="2" s="1"/>
  <c r="AT93" i="2" s="1"/>
  <c r="AY93" i="2" s="1"/>
  <c r="AZ93" i="2" s="1"/>
  <c r="BE93" i="2" s="1"/>
  <c r="BF93" i="2" s="1"/>
  <c r="P94" i="2"/>
  <c r="U94" i="2" s="1"/>
  <c r="V94" i="2" s="1"/>
  <c r="AA94" i="2" s="1"/>
  <c r="AB94" i="2" s="1"/>
  <c r="AG94" i="2" s="1"/>
  <c r="AH94" i="2" s="1"/>
  <c r="AM94" i="2" s="1"/>
  <c r="AN94" i="2" s="1"/>
  <c r="AS94" i="2" s="1"/>
  <c r="AT94" i="2" s="1"/>
  <c r="AY94" i="2" s="1"/>
  <c r="AZ94" i="2" s="1"/>
  <c r="BE94" i="2" s="1"/>
  <c r="BF94" i="2" s="1"/>
  <c r="P97" i="2"/>
  <c r="U97" i="2" s="1"/>
  <c r="V97" i="2" s="1"/>
  <c r="AA97" i="2" s="1"/>
  <c r="AB97" i="2" s="1"/>
  <c r="AG97" i="2" s="1"/>
  <c r="AH97" i="2" s="1"/>
  <c r="AM97" i="2" s="1"/>
  <c r="AN97" i="2" s="1"/>
  <c r="AS97" i="2" s="1"/>
  <c r="AT97" i="2" s="1"/>
  <c r="AY97" i="2" s="1"/>
  <c r="AZ97" i="2" s="1"/>
  <c r="BE97" i="2" s="1"/>
  <c r="BF97" i="2" s="1"/>
  <c r="P98" i="2"/>
  <c r="U98" i="2" s="1"/>
  <c r="V98" i="2" s="1"/>
  <c r="AA98" i="2" s="1"/>
  <c r="AB98" i="2" s="1"/>
  <c r="AG98" i="2" s="1"/>
  <c r="AH98" i="2" s="1"/>
  <c r="AM98" i="2" s="1"/>
  <c r="AN98" i="2" s="1"/>
  <c r="AS98" i="2" s="1"/>
  <c r="AT98" i="2" s="1"/>
  <c r="AY98" i="2" s="1"/>
  <c r="AZ98" i="2" s="1"/>
  <c r="BE98" i="2" s="1"/>
  <c r="BF98" i="2" s="1"/>
  <c r="P99" i="2"/>
  <c r="U99" i="2" s="1"/>
  <c r="V99" i="2" s="1"/>
  <c r="AA99" i="2" s="1"/>
  <c r="AB99" i="2" s="1"/>
  <c r="AG99" i="2" s="1"/>
  <c r="AH99" i="2" s="1"/>
  <c r="AM99" i="2" s="1"/>
  <c r="AN99" i="2" s="1"/>
  <c r="AS99" i="2" s="1"/>
  <c r="AT99" i="2" s="1"/>
  <c r="AY99" i="2" s="1"/>
  <c r="AZ99" i="2" s="1"/>
  <c r="BE99" i="2" s="1"/>
  <c r="BF99" i="2" s="1"/>
  <c r="P100" i="2"/>
  <c r="U100" i="2" s="1"/>
  <c r="V100" i="2" s="1"/>
  <c r="AA100" i="2" s="1"/>
  <c r="AB100" i="2" s="1"/>
  <c r="AG100" i="2" s="1"/>
  <c r="AH100" i="2" s="1"/>
  <c r="AM100" i="2" s="1"/>
  <c r="AN100" i="2" s="1"/>
  <c r="AS100" i="2" s="1"/>
  <c r="AT100" i="2" s="1"/>
  <c r="AY100" i="2" s="1"/>
  <c r="AZ100" i="2" s="1"/>
  <c r="BE100" i="2" s="1"/>
  <c r="BF100" i="2" s="1"/>
  <c r="P101" i="2"/>
  <c r="U101" i="2" s="1"/>
  <c r="V101" i="2" s="1"/>
  <c r="AA101" i="2" s="1"/>
  <c r="AB101" i="2" s="1"/>
  <c r="AG101" i="2" s="1"/>
  <c r="AH101" i="2" s="1"/>
  <c r="AM101" i="2" s="1"/>
  <c r="AN101" i="2" s="1"/>
  <c r="AS101" i="2" s="1"/>
  <c r="AT101" i="2" s="1"/>
  <c r="AY101" i="2" s="1"/>
  <c r="AZ101" i="2" s="1"/>
  <c r="BE101" i="2" s="1"/>
  <c r="BF101" i="2" s="1"/>
  <c r="P102" i="2"/>
  <c r="U102" i="2" s="1"/>
  <c r="V102" i="2" s="1"/>
  <c r="AA102" i="2" s="1"/>
  <c r="AB102" i="2" s="1"/>
  <c r="AG102" i="2" s="1"/>
  <c r="AH102" i="2" s="1"/>
  <c r="AM102" i="2" s="1"/>
  <c r="AN102" i="2" s="1"/>
  <c r="AS102" i="2" s="1"/>
  <c r="AT102" i="2" s="1"/>
  <c r="AY102" i="2" s="1"/>
  <c r="AZ102" i="2" s="1"/>
  <c r="BE102" i="2" s="1"/>
  <c r="BF102" i="2" s="1"/>
  <c r="P103" i="2"/>
  <c r="U103" i="2" s="1"/>
  <c r="V103" i="2" s="1"/>
  <c r="AA103" i="2" s="1"/>
  <c r="AB103" i="2" s="1"/>
  <c r="AG103" i="2" s="1"/>
  <c r="AH103" i="2" s="1"/>
  <c r="AM103" i="2" s="1"/>
  <c r="AN103" i="2" s="1"/>
  <c r="AS103" i="2" s="1"/>
  <c r="AT103" i="2" s="1"/>
  <c r="AY103" i="2" s="1"/>
  <c r="AZ103" i="2" s="1"/>
  <c r="BE103" i="2" s="1"/>
  <c r="BF103" i="2" s="1"/>
  <c r="P104" i="2"/>
  <c r="U104" i="2" s="1"/>
  <c r="V104" i="2" s="1"/>
  <c r="AA104" i="2" s="1"/>
  <c r="AB104" i="2" s="1"/>
  <c r="AG104" i="2" s="1"/>
  <c r="AH104" i="2" s="1"/>
  <c r="AM104" i="2" s="1"/>
  <c r="AN104" i="2" s="1"/>
  <c r="AS104" i="2" s="1"/>
  <c r="AT104" i="2" s="1"/>
  <c r="AY104" i="2" s="1"/>
  <c r="AZ104" i="2" s="1"/>
  <c r="BE104" i="2" s="1"/>
  <c r="BF104" i="2" s="1"/>
  <c r="P105" i="2"/>
  <c r="U105" i="2" s="1"/>
  <c r="V105" i="2" s="1"/>
  <c r="AA105" i="2" s="1"/>
  <c r="AB105" i="2" s="1"/>
  <c r="AG105" i="2" s="1"/>
  <c r="AH105" i="2" s="1"/>
  <c r="AM105" i="2" s="1"/>
  <c r="AN105" i="2" s="1"/>
  <c r="AS105" i="2" s="1"/>
  <c r="AT105" i="2" s="1"/>
  <c r="AY105" i="2" s="1"/>
  <c r="AZ105" i="2" s="1"/>
  <c r="BE105" i="2" s="1"/>
  <c r="BF105" i="2" s="1"/>
  <c r="GQ11" i="2"/>
  <c r="GQ10" i="2"/>
  <c r="P9" i="2" l="1"/>
  <c r="U9" i="2" s="1"/>
  <c r="V9" i="2" s="1"/>
  <c r="AA9" i="2" s="1"/>
  <c r="AB9" i="2" s="1"/>
  <c r="AG9" i="2" s="1"/>
  <c r="AH9" i="2" s="1"/>
  <c r="AM9" i="2" s="1"/>
  <c r="AN9" i="2" s="1"/>
  <c r="AS9" i="2" s="1"/>
  <c r="AT9" i="2" s="1"/>
  <c r="AY9" i="2" s="1"/>
  <c r="AZ9" i="2" s="1"/>
  <c r="BE9" i="2" s="1"/>
  <c r="BF9" i="2" s="1"/>
  <c r="BK9" i="2" s="1"/>
  <c r="BL9" i="2" s="1"/>
  <c r="BQ9" i="2" s="1"/>
  <c r="BR9" i="2" s="1"/>
  <c r="BW9" i="2" s="1"/>
  <c r="BX9" i="2" s="1"/>
  <c r="CC9" i="2" s="1"/>
  <c r="CD9" i="2" s="1"/>
  <c r="CI9" i="2" s="1"/>
  <c r="CJ9" i="2" s="1"/>
  <c r="CO9" i="2" s="1"/>
  <c r="CP9" i="2" s="1"/>
  <c r="CU9" i="2" s="1"/>
  <c r="CV9" i="2" s="1"/>
  <c r="DA9" i="2" s="1"/>
  <c r="DB9" i="2" s="1"/>
  <c r="DG9" i="2" s="1"/>
  <c r="DH9" i="2" s="1"/>
  <c r="DM9" i="2" s="1"/>
  <c r="DN9" i="2" s="1"/>
  <c r="DS9" i="2" s="1"/>
  <c r="DT9" i="2" s="1"/>
  <c r="DY9" i="2" s="1"/>
  <c r="DZ9" i="2" s="1"/>
  <c r="EE9" i="2" s="1"/>
  <c r="EF9" i="2" s="1"/>
  <c r="EK9" i="2" s="1"/>
  <c r="EL9" i="2" s="1"/>
  <c r="EQ9" i="2" s="1"/>
  <c r="ER9" i="2" s="1"/>
  <c r="EW9" i="2" s="1"/>
  <c r="EX9" i="2" s="1"/>
  <c r="FC9" i="2" s="1"/>
  <c r="FD9" i="2" s="1"/>
  <c r="FI9" i="2" s="1"/>
  <c r="FJ9" i="2" s="1"/>
  <c r="FO9" i="2" s="1"/>
  <c r="FP9" i="2" s="1"/>
  <c r="FU9" i="2" s="1"/>
  <c r="FV9" i="2" s="1"/>
  <c r="GA9" i="2" s="1"/>
  <c r="GB9" i="2" s="1"/>
  <c r="GG9" i="2" s="1"/>
  <c r="GH9" i="2" s="1"/>
  <c r="GM9" i="2" s="1"/>
  <c r="GR9" i="2" s="1"/>
  <c r="P18" i="2"/>
  <c r="AA76" i="2"/>
  <c r="U96" i="2"/>
  <c r="U18" i="2" l="1"/>
  <c r="V18" i="2" s="1"/>
  <c r="U106" i="2"/>
  <c r="V96" i="2"/>
  <c r="AA96" i="2" s="1"/>
  <c r="AB96" i="2" s="1"/>
  <c r="AG96" i="2" s="1"/>
  <c r="AH96" i="2" s="1"/>
  <c r="AM96" i="2" s="1"/>
  <c r="AN96" i="2" s="1"/>
  <c r="AS96" i="2" s="1"/>
  <c r="AT96" i="2" s="1"/>
  <c r="AY96" i="2" s="1"/>
  <c r="AZ96" i="2" s="1"/>
  <c r="BE96" i="2" s="1"/>
  <c r="BF96" i="2" s="1"/>
  <c r="AB76" i="2"/>
  <c r="V106" i="2" l="1"/>
  <c r="AA18" i="2"/>
  <c r="AG76" i="2"/>
  <c r="AB18" i="2" l="1"/>
  <c r="AA106" i="2"/>
  <c r="AH76" i="2"/>
  <c r="AB106" i="2" l="1"/>
  <c r="AG18" i="2"/>
  <c r="AH106" i="2"/>
  <c r="AM76" i="2"/>
  <c r="AH18" i="2" l="1"/>
  <c r="AM18" i="2" s="1"/>
  <c r="AN18" i="2" s="1"/>
  <c r="AS18" i="2" s="1"/>
  <c r="AG106" i="2"/>
  <c r="AT18" i="2"/>
  <c r="AM106" i="2"/>
  <c r="AN76" i="2"/>
  <c r="AN106" i="2" l="1"/>
  <c r="AS76" i="2"/>
  <c r="AY18" i="2"/>
  <c r="AS106" i="2" l="1"/>
  <c r="AT76" i="2"/>
  <c r="AZ18" i="2"/>
  <c r="AT106" i="2" l="1"/>
  <c r="AY76" i="2"/>
  <c r="BE18" i="2"/>
  <c r="AY106" i="2" l="1"/>
  <c r="AZ76" i="2"/>
  <c r="BF18" i="2"/>
  <c r="AZ106" i="2" l="1"/>
  <c r="BE76" i="2"/>
  <c r="BK18" i="2"/>
  <c r="BE106" i="2" l="1"/>
  <c r="BF76" i="2"/>
  <c r="BF106" i="2" s="1"/>
  <c r="BL18" i="2"/>
  <c r="BK106" i="2"/>
  <c r="BQ18" i="2" l="1"/>
  <c r="BL106" i="2"/>
  <c r="BQ106" i="2" l="1"/>
  <c r="BR18" i="2"/>
  <c r="BR106" i="2" l="1"/>
  <c r="BW18" i="2"/>
  <c r="BX18" i="2" l="1"/>
  <c r="BW106" i="2"/>
  <c r="CC18" i="2" l="1"/>
  <c r="BX106" i="2"/>
  <c r="CD18" i="2" l="1"/>
  <c r="CC106" i="2"/>
  <c r="CI18" i="2" l="1"/>
  <c r="CD106" i="2"/>
  <c r="CI106" i="2" l="1"/>
  <c r="CJ18" i="2"/>
  <c r="CJ106" i="2" l="1"/>
  <c r="CO18" i="2"/>
  <c r="CO106" i="2" l="1"/>
  <c r="CP18" i="2"/>
  <c r="CU18" i="2" l="1"/>
  <c r="CP106" i="2"/>
  <c r="CU106" i="2" l="1"/>
  <c r="CV18" i="2"/>
  <c r="DA18" i="2" l="1"/>
  <c r="CV106" i="2"/>
  <c r="DB18" i="2" l="1"/>
  <c r="DA106" i="2"/>
  <c r="DG18" i="2" l="1"/>
  <c r="DB106" i="2"/>
  <c r="DG106" i="2" l="1"/>
  <c r="DH18" i="2"/>
  <c r="DH106" i="2" l="1"/>
  <c r="DM18" i="2"/>
  <c r="DM106" i="2" l="1"/>
  <c r="DN18" i="2"/>
  <c r="DN106" i="2" l="1"/>
  <c r="DS18" i="2"/>
  <c r="DS106" i="2" l="1"/>
  <c r="DT18" i="2"/>
  <c r="DT106" i="2" l="1"/>
  <c r="DY18" i="2"/>
  <c r="DY106" i="2" l="1"/>
  <c r="DZ18" i="2"/>
  <c r="EE18" i="2" l="1"/>
  <c r="DZ106" i="2"/>
  <c r="EE106" i="2" l="1"/>
  <c r="EF18" i="2"/>
  <c r="EF106" i="2" l="1"/>
  <c r="EK18" i="2"/>
  <c r="EK106" i="2" l="1"/>
  <c r="EL18" i="2"/>
  <c r="EQ18" i="2" l="1"/>
  <c r="EL106" i="2"/>
  <c r="EQ106" i="2" l="1"/>
  <c r="ER18" i="2"/>
  <c r="EW18" i="2" l="1"/>
  <c r="ER106" i="2"/>
  <c r="EW106" i="2" l="1"/>
  <c r="EX18" i="2"/>
  <c r="EX106" i="2" l="1"/>
  <c r="FC18" i="2"/>
  <c r="FC106" i="2" l="1"/>
  <c r="FD18" i="2"/>
  <c r="FD106" i="2" l="1"/>
  <c r="FI18" i="2"/>
  <c r="FI106" i="2" l="1"/>
  <c r="FJ18" i="2"/>
  <c r="FJ106" i="2" l="1"/>
  <c r="FO18" i="2"/>
  <c r="FO106" i="2" l="1"/>
  <c r="FP18" i="2"/>
  <c r="FP106" i="2" l="1"/>
  <c r="FU18" i="2"/>
  <c r="FV18" i="2" l="1"/>
  <c r="FU106" i="2"/>
  <c r="FV106" i="2" l="1"/>
  <c r="GA18" i="2"/>
  <c r="GB18" i="2" l="1"/>
  <c r="GA106" i="2"/>
  <c r="GG18" i="2" l="1"/>
  <c r="GB106" i="2"/>
  <c r="GH18" i="2" l="1"/>
  <c r="GG106" i="2"/>
  <c r="GH106" i="2" l="1"/>
  <c r="GM18" i="2"/>
  <c r="GR18" i="2" l="1"/>
  <c r="GM106" i="2"/>
</calcChain>
</file>

<file path=xl/sharedStrings.xml><?xml version="1.0" encoding="utf-8"?>
<sst xmlns="http://schemas.openxmlformats.org/spreadsheetml/2006/main" count="921" uniqueCount="401">
  <si>
    <t>How This Workbook Works  |  طريقة عمل هذا الملف</t>
  </si>
  <si>
    <t>1) Sheet structure / تركيب الملف</t>
  </si>
  <si>
    <t>• 'Monthly Consumption' is the only working sheet. One row = one chemical material for the whole month.
• ورقة 'Monthly Consumption' هي ورقة العمل الوحيدة. كل صف يمثل مادة كيميائية واحدة طوال الشهر كامل.</t>
  </si>
  <si>
    <t>2) Fixed identity columns (A-I) / أعمدة بيانات المادة الثابتة (A-I)</t>
  </si>
  <si>
    <t>• No. | Material Code | Chemical Name | Manufacturer/Supplier | LOT/Batch No. | Production Date | Expiry Date | Unit | Opening Balance (start of month).
• Fill these once at the start of the month for each material. The Opening Balance (I) should equal last month's Closing Balance.
• رقم | كود المادة | الاسم الكيميائي | الشركة المصنعة / المورد | رقم اللوت | تاريخ الإنتاج | تاريخ الصلاحية | الوحدة | رصيد بداية الشهر.
• تُملأ مرة واحدة لكل مادة في بداية الشهر، ويجب أن يساوي رصيد بداية الشهر (I) رصيد نهاية الشهر السابق.</t>
  </si>
  <si>
    <t>3) Daily blocks (repeated for Day 1 → Day 31) / أعمدة اليوم (تتكرر من اليوم 1 إلى 31)</t>
  </si>
  <si>
    <t>Each day has 6 columns:
  - Opening (auto): equals the previous day's Closing balance (Day 1 = column I).
  - Received: quantity received into the warehouse that day - ENTER MANUALLY.
  - To Prod.: quantity dispatched to production lines at the start of the day - ENTER MANUALLY.
  - Returned: quantity returned from production lines at the end of the day - ENTER MANUALLY.
  - Consum. (auto) = Dispatched to Production − Returned from Production.
  - Closing (auto) = Opening + Received − Consumption.
كل يوم يحتوي على 6 أعمدة:
  - افتتاحي (تلقائي): يساوي رصيد الإغلاق لليوم السابق (اليوم 1 = العمود I).
  - وارد: الكمية المستلمة للمخزن خلال اليوم - إدخال يدوي.
  - صادر لخطوط الإنتاج: الكمية المرسلة لخطوط الإنتاج بداية اليوم - إدخال يدوي.
  - مرتجع من الإنتاج: الكمية المرتجعة من خطوط الإنتاج نهاية اليوم - إدخال يدوي.
  - استهلاك (تلقائي) = الصادر للإنتاج − المرتجع من الإنتاج.
  - ختامي (تلقائي) = الافتتاحي + الوارد − الاستهلاك.</t>
  </si>
  <si>
    <t>4) Monthly totals (last 5 columns) / إجمالي الشهر (آخر 5 أعمدة)</t>
  </si>
  <si>
    <t>• Total Received, Total Dispatched to Production, Total Returned from Production: automatic SUM of all 31 days.
• TOTAL MONTHLY CONSUMPTION: automatic SUM of the 31 daily Consumption columns - this is the figure you report.
• Closing Balance - End of Month: automatically pulled from Day 31's Closing column; use it as next month's Opening Balance.
• إجمالي الوارد، إجمالي الصادر للإنتاج، إجمالي المرتجع من الإنتاج: مجموع تلقائي لأيام الشهر الـ 31.
• إجمالي الاستهلاك الشهري: مجموع تلقائي لأعمدة الاستهلاك اليومية الـ 31 - وهو الرقم الذي يُعتمد في التقارير.
• رصيد نهاية الشهر: يُسحب تلقائياً من عمود الإغلاق لليوم 31، ويُستخدم كرصيد بداية الشهر التالي.</t>
  </si>
  <si>
    <t>5) For a short month (28/29/30 days) / للأشهر الأقصر من 31 يوماً</t>
  </si>
  <si>
    <t>Simply leave the extra day columns empty - the formulas safely read them as zero and the totals stay correct.
اترك أعمدة الأيام الزائدة فارغة فقط - المعادلات تتعامل معها كصفر تلقائياً وتبقى الإجماليات صحيحة.</t>
  </si>
  <si>
    <t>6) Color key / دليل الألوان</t>
  </si>
  <si>
    <t>Yellow cells = type here every day. Green cells = calculated automatically, never type in them. Blue cells = monthly totals (read-only).
الخلايا الصفراء = تُدخل يومياً. الخلايا الخضراء = تُحسب تلقائياً ولا تُكتب فيها. الخلايا الزرقاء = إجماليات الشهر (للقراءة فقط).</t>
  </si>
  <si>
    <t>Dyehouse &amp; Printing Chemical Warehouse - Monthly Consumption Tracker  |  سجل استهلاك الكيماويات الشهري - مخزن كيماويات الصباغة والطباعة</t>
  </si>
  <si>
    <t>Document No: EMS.SUS.FORM.006   |   Approval Date: 06.05.2026   |   Revision No: R001   |   Revision Date: 10.09.2026   |   Page: 1-1</t>
  </si>
  <si>
    <t>Month / الشهر:</t>
  </si>
  <si>
    <t>Responsible Person / اسم المسؤول:</t>
  </si>
  <si>
    <t>Legend / دليل الألوان:   Yellow = manual entry / خلية إدخال يدوي      Green = auto-calculated, do not edit / خلية محسوبة تلقائياً لا تُعدَّل      Blue = monthly totals / إجمالي الشهر</t>
  </si>
  <si>
    <t>How to use / طريقة الاستخدام: Fill columns A-I once per material. Each day, enter only the 3 yellow cells for that day (Received, Dispatched to Production, Returned from Production) - Opening balance, Consumption and Closing balance calculate automatically and roll into the next day. املأ الأعمدة A-I مرة واحدة لكل مادة، وكل يوم أدخل فقط الخلايا الصفراء الثلاث الخاصة بذلك اليوم (الوارد، الصادر لخطوط الإنتاج، المرتجع من خطوط الإنتاج) - يتم حساب الرصيد الافتتاحي والاستهلاك والرصيد الختامي تلقائياً.</t>
  </si>
  <si>
    <t>No.
م</t>
  </si>
  <si>
    <t>Material Code
كود المادة</t>
  </si>
  <si>
    <t>Chemical Name
الاسم الكيميائي</t>
  </si>
  <si>
    <t>Manufacturer / Supplier
الشركة المصنعة / المورد</t>
  </si>
  <si>
    <t>LOT / Batch No.
رقم اللوت / الدفعة</t>
  </si>
  <si>
    <t>Production Date
تاريخ الإنتاج</t>
  </si>
  <si>
    <t>Expiry Date
تاريخ انتهاء الصلاحية</t>
  </si>
  <si>
    <t>Unit
الوحدة</t>
  </si>
  <si>
    <t>Opening Balance
- Start of Month -
رصيد بداية الشهر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</si>
  <si>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</si>
  <si>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</si>
  <si>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</si>
  <si>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</si>
  <si>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</si>
  <si>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</si>
  <si>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</si>
  <si>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</si>
  <si>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</si>
  <si>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</si>
  <si>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</si>
  <si>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</si>
  <si>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</si>
  <si>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</si>
  <si>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</si>
  <si>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</si>
  <si>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</si>
  <si>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</si>
  <si>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</si>
  <si>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</si>
  <si>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</si>
  <si>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</si>
  <si>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</si>
  <si>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</si>
  <si>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</si>
  <si>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</si>
  <si>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</si>
  <si>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</si>
  <si>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</si>
  <si>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</si>
  <si>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</si>
  <si>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Total Received
(Month)
إجمالي الوارد</t>
  </si>
  <si>
    <t>Total Dispatched
to Production (Month)
إجمالي الصادر للإنتاج</t>
  </si>
  <si>
    <t>Total Returned
from Production (Month)
إجمالي المرتجع من الإنتاج</t>
  </si>
  <si>
    <t>TOTAL MONTHLY
CONSUMPTION
إجمالي الاستهلاك الشهري</t>
  </si>
  <si>
    <t>Closing Balance
- End of Month -
رصيد نهاية الشهر</t>
  </si>
  <si>
    <t>Opening
افتتاحي</t>
  </si>
  <si>
    <t>Received
وارد</t>
  </si>
  <si>
    <t>To Prod.
صادر انتاج</t>
  </si>
  <si>
    <t>Returned
مرتجع انتاج</t>
  </si>
  <si>
    <t>Consum.
استهلاك</t>
  </si>
  <si>
    <t>Closing
ختامي</t>
  </si>
  <si>
    <t>KG</t>
  </si>
  <si>
    <t>20.12.2026</t>
  </si>
  <si>
    <t>20.2.2027</t>
  </si>
  <si>
    <t>18.12.2026</t>
  </si>
  <si>
    <t>18.2.2027</t>
  </si>
  <si>
    <t>23.12.2026</t>
  </si>
  <si>
    <t>20.5.2027</t>
  </si>
  <si>
    <t>05.12.2027</t>
  </si>
  <si>
    <t>02.11.2027</t>
  </si>
  <si>
    <t>1.8.2027</t>
  </si>
  <si>
    <t>1.7.2027</t>
  </si>
  <si>
    <t>6.12.2026</t>
  </si>
  <si>
    <t>1.12.2026</t>
  </si>
  <si>
    <t>12.12.2027</t>
  </si>
  <si>
    <t>30.7.2027</t>
  </si>
  <si>
    <t>8.2.2027</t>
  </si>
  <si>
    <t>5.2.2027</t>
  </si>
  <si>
    <t>31.3.2027</t>
  </si>
  <si>
    <t>26.1.2027</t>
  </si>
  <si>
    <t>4.3.2027</t>
  </si>
  <si>
    <t>3.3.2027</t>
  </si>
  <si>
    <t>-</t>
  </si>
  <si>
    <t>3.8.2027</t>
  </si>
  <si>
    <t>29.7.2027</t>
  </si>
  <si>
    <t>4.8.2027</t>
  </si>
  <si>
    <t>MNV2565236</t>
  </si>
  <si>
    <t>K2565235</t>
  </si>
  <si>
    <t>K2565285</t>
  </si>
  <si>
    <t>SP2564582</t>
  </si>
  <si>
    <t>SP2565231</t>
  </si>
  <si>
    <t>SP2565233</t>
  </si>
  <si>
    <t>SP256987</t>
  </si>
  <si>
    <t>K2565225</t>
  </si>
  <si>
    <t>K25546</t>
  </si>
  <si>
    <t>SP2565234</t>
  </si>
  <si>
    <t>SP26548</t>
  </si>
  <si>
    <t>SP256522</t>
  </si>
  <si>
    <t>25LB092301</t>
  </si>
  <si>
    <t xml:space="preserve">25LB091213 AG </t>
  </si>
  <si>
    <t>25LB091306</t>
  </si>
  <si>
    <t>25LB1239FF.MNV</t>
  </si>
  <si>
    <t>MNV2565234</t>
  </si>
  <si>
    <t>MNV2565233</t>
  </si>
  <si>
    <t>25LB1237FF.MNV</t>
  </si>
  <si>
    <t>K2565227</t>
  </si>
  <si>
    <t>K654982</t>
  </si>
  <si>
    <t>SP2564591</t>
  </si>
  <si>
    <t>SP2565232</t>
  </si>
  <si>
    <t>SP2565226</t>
  </si>
  <si>
    <t>SP2564585</t>
  </si>
  <si>
    <t>SP2565230</t>
  </si>
  <si>
    <t>SP2564590</t>
  </si>
  <si>
    <t>SP2564589</t>
  </si>
  <si>
    <t>25LB1238FF.MNV</t>
  </si>
  <si>
    <t>MNV.2565236</t>
  </si>
  <si>
    <t>25LB1236FF.MNV</t>
  </si>
  <si>
    <t>MNV.2565235</t>
  </si>
  <si>
    <t>SP2564584</t>
  </si>
  <si>
    <t>PLHGB25120L</t>
  </si>
  <si>
    <t>B.N PREWH251101</t>
  </si>
  <si>
    <t>26LB071304</t>
  </si>
  <si>
    <t>26LB073103</t>
  </si>
  <si>
    <t>T2A2</t>
  </si>
  <si>
    <t>T2A4</t>
  </si>
  <si>
    <t>BA2509-66</t>
  </si>
  <si>
    <t>MPSWH251202</t>
  </si>
  <si>
    <t>25LB091202</t>
  </si>
  <si>
    <t>25LB091203</t>
  </si>
  <si>
    <t>25LB091503</t>
  </si>
  <si>
    <t>25LB091219</t>
  </si>
  <si>
    <t>25LB091231</t>
  </si>
  <si>
    <t>25LB091224</t>
  </si>
  <si>
    <t>26LB073009</t>
  </si>
  <si>
    <t>26LB073014</t>
  </si>
  <si>
    <t>25LB091235</t>
  </si>
  <si>
    <t>25LB091222</t>
  </si>
  <si>
    <t>25LB091240</t>
  </si>
  <si>
    <t>25LB091504</t>
  </si>
  <si>
    <t>25LB091241</t>
  </si>
  <si>
    <t>25LB091243</t>
  </si>
  <si>
    <t>25LB091234</t>
  </si>
  <si>
    <t>25LB091232</t>
  </si>
  <si>
    <t>25LB091242</t>
  </si>
  <si>
    <t>25LB091226</t>
  </si>
  <si>
    <t>25LB091227</t>
  </si>
  <si>
    <t>SP256S231</t>
  </si>
  <si>
    <t>SP256S482</t>
  </si>
  <si>
    <t>26LB021901</t>
  </si>
  <si>
    <t>26LB0233102</t>
  </si>
  <si>
    <t>25LB091004</t>
  </si>
  <si>
    <t>26LB0233101-KB1</t>
  </si>
  <si>
    <t>25LB091206</t>
  </si>
  <si>
    <t>26LB032603</t>
  </si>
  <si>
    <t>26LB073101</t>
  </si>
  <si>
    <t>26LB033107</t>
  </si>
  <si>
    <t>25LB091003</t>
  </si>
  <si>
    <t>26LB032704</t>
  </si>
  <si>
    <t>25LB091701</t>
  </si>
  <si>
    <t>25LB091703</t>
  </si>
  <si>
    <t>25LB091705</t>
  </si>
  <si>
    <t>25LB091702</t>
  </si>
  <si>
    <t>25LB091706</t>
  </si>
  <si>
    <t>26LB080109-6.3</t>
  </si>
  <si>
    <t>26LB080311.63</t>
  </si>
  <si>
    <t>26LB3073107</t>
  </si>
  <si>
    <t>26LB080101</t>
  </si>
  <si>
    <t>26LB080308</t>
  </si>
  <si>
    <t>26LB070701</t>
  </si>
  <si>
    <t>26LB078919</t>
  </si>
  <si>
    <t>26LB070702</t>
  </si>
  <si>
    <t>26LB073024</t>
  </si>
  <si>
    <t>MT 730 FLOURECENT PINT</t>
  </si>
  <si>
    <t xml:space="preserve">MT 671 GREEN PRINT </t>
  </si>
  <si>
    <t>MT 671 GREEN PRINT</t>
  </si>
  <si>
    <t>MT638 YELLOW PRINT</t>
  </si>
  <si>
    <t>MT604 HEAT RESITANE RED</t>
  </si>
  <si>
    <t>MT664 CARMIN RED</t>
  </si>
  <si>
    <t>MT621 FUCHSIA</t>
  </si>
  <si>
    <t>MT655 BLACK</t>
  </si>
  <si>
    <t>MT620 BROWN</t>
  </si>
  <si>
    <t>PU304 W.B.FIKING AGENET</t>
  </si>
  <si>
    <t xml:space="preserve">PU473P.T.F THICKENER </t>
  </si>
  <si>
    <t xml:space="preserve">MR255 REGULATOR </t>
  </si>
  <si>
    <t xml:space="preserve">M750 FLOURESCENT GREEN </t>
  </si>
  <si>
    <t xml:space="preserve">M750 FF FLOURESCENT GREEN </t>
  </si>
  <si>
    <t>MT720 FLOURESCENT ORANGE</t>
  </si>
  <si>
    <t>MT632 VIOLET</t>
  </si>
  <si>
    <t>MT657 TURQUISE BLUE</t>
  </si>
  <si>
    <t>MT631 ORANGE</t>
  </si>
  <si>
    <t xml:space="preserve">MT651 BLUE </t>
  </si>
  <si>
    <t>MT653 NAVY BLUE</t>
  </si>
  <si>
    <t>MT605 HEAT RESISTANCE RED</t>
  </si>
  <si>
    <t>MT703 FLOURESCENT PINK</t>
  </si>
  <si>
    <t>MT703 FF FLOURESCENT PINK</t>
  </si>
  <si>
    <t>MT710 FLOURESCENT YELLOW</t>
  </si>
  <si>
    <t>MT710 FF FLOURESCENT YELLOW</t>
  </si>
  <si>
    <t>MT610 LIMON YELLOW</t>
  </si>
  <si>
    <t>TEXTILE SCREEN PRINTING</t>
  </si>
  <si>
    <t xml:space="preserve">PRINTEX ELASTO WHITE </t>
  </si>
  <si>
    <t>AC780 WHITE NON BLOCKING TRANSPARENT</t>
  </si>
  <si>
    <t>AC790 WHITE NON BLOCKING TRANSPARENT</t>
  </si>
  <si>
    <t xml:space="preserve">TEXTILE PRINTING PAST </t>
  </si>
  <si>
    <t>MR591 PLASTIOL CROSSLINER</t>
  </si>
  <si>
    <t>MTL.PLASTO PRINT SUPER WHITE</t>
  </si>
  <si>
    <t>PU328W.B.C RACKING TRANSPARENT</t>
  </si>
  <si>
    <t>PU348 W.B.CRACKING PASTE WHITE</t>
  </si>
  <si>
    <t>MR900 METALLIC SILVER</t>
  </si>
  <si>
    <t>MR350BROWN</t>
  </si>
  <si>
    <t>MR48 PUFF</t>
  </si>
  <si>
    <t>MR374 CARMINE RED</t>
  </si>
  <si>
    <t xml:space="preserve">MR265 SNOW WHITE </t>
  </si>
  <si>
    <t>MR370 LIMON YELLOW</t>
  </si>
  <si>
    <t>MR485 CMYK BLACK</t>
  </si>
  <si>
    <t xml:space="preserve">MR372 ORANGE </t>
  </si>
  <si>
    <t xml:space="preserve">MR486 FLOURSCENT YELLOW </t>
  </si>
  <si>
    <t>MR905 METALLIC GOLD</t>
  </si>
  <si>
    <t>MR487 FLOURSCENT ORANGE</t>
  </si>
  <si>
    <t>MR489 FLOURSCENT GREEN</t>
  </si>
  <si>
    <t xml:space="preserve">MR484 CMYK CYAN </t>
  </si>
  <si>
    <t>MR482 MYK MAGENTA</t>
  </si>
  <si>
    <t>MR488 FLOURSCENT PINK</t>
  </si>
  <si>
    <t xml:space="preserve">MR376 GREEN </t>
  </si>
  <si>
    <t xml:space="preserve">MR377 BLUE </t>
  </si>
  <si>
    <t>MT655 BLACK (3)</t>
  </si>
  <si>
    <t>MT605 HEAT RESISTANCE RED (4)</t>
  </si>
  <si>
    <t>MT638 GOLD YELLOW (4)</t>
  </si>
  <si>
    <t>PU334 GLITTER PASTE (9)</t>
  </si>
  <si>
    <t>PU317 W.B ANTI FOIL PASTE (7)</t>
  </si>
  <si>
    <t>PU110 W.B. COATING GREY (ANTI MIGRATION GREY) (2)</t>
  </si>
  <si>
    <t>PU380 W.B. PUFF (3)</t>
  </si>
  <si>
    <t>PU360 W.B. PEARL PASTE (2)</t>
  </si>
  <si>
    <t>AC1005 PRINTING PASTE (4)</t>
  </si>
  <si>
    <t>ANINOL VST 200 (4)</t>
  </si>
  <si>
    <t>SILCON SPRAY (40)</t>
  </si>
  <si>
    <t>GELATIN ROLL (75)</t>
  </si>
  <si>
    <t>PU451 REGULATOR AND RETARDANT (18)</t>
  </si>
  <si>
    <t xml:space="preserve">GILITTER GOLD </t>
  </si>
  <si>
    <t>GILITTER SILVER</t>
  </si>
  <si>
    <t>GILITTER RED</t>
  </si>
  <si>
    <t>GILITTER TRANPARENT</t>
  </si>
  <si>
    <t>GILITTER HOLOGRAM</t>
  </si>
  <si>
    <t>GILITTER BLCK</t>
  </si>
  <si>
    <t>TEXTIL PHW (8)</t>
  </si>
  <si>
    <t>FRAME ADHESIVE -A (48)</t>
  </si>
  <si>
    <t>FRAME ADHESIVE B (50)</t>
  </si>
  <si>
    <t>PU 410 W.B.TRANS</t>
  </si>
  <si>
    <t xml:space="preserve">PU420 W.B.WHITE </t>
  </si>
  <si>
    <t xml:space="preserve">PU905 WATER BASED TABLE </t>
  </si>
  <si>
    <t>PALLET PRODECTION FILM 65CM</t>
  </si>
  <si>
    <t>MR 261 HIGH DENSITYRANS</t>
  </si>
  <si>
    <t xml:space="preserve">MR 255 REGULATOR </t>
  </si>
  <si>
    <t xml:space="preserve">MR 269 BLACK </t>
  </si>
  <si>
    <t xml:space="preserve">MR 378 NAVY BLUE </t>
  </si>
  <si>
    <t xml:space="preserve">MR 375 FUCHSIA </t>
  </si>
  <si>
    <t>MR 373 RED</t>
  </si>
  <si>
    <t>EMS-PRINT0001</t>
  </si>
  <si>
    <t>EMS-PRINT0002</t>
  </si>
  <si>
    <t>EMS-PRINT0003</t>
  </si>
  <si>
    <t>EMS-PRINT0004</t>
  </si>
  <si>
    <t>EMS-PRINT0005</t>
  </si>
  <si>
    <t>EMS-PRINT0006</t>
  </si>
  <si>
    <t>EMS-PRINT0007</t>
  </si>
  <si>
    <t>EMS-PRINT0008</t>
  </si>
  <si>
    <t>EMS-PRINT0009</t>
  </si>
  <si>
    <t>EMS-PRINT0010</t>
  </si>
  <si>
    <t>EMS-PRINT0011</t>
  </si>
  <si>
    <t>EMS-PRINT0012</t>
  </si>
  <si>
    <t>EMS-PRINT0013</t>
  </si>
  <si>
    <t>EMS-PRINT0014</t>
  </si>
  <si>
    <t>EMS-PRINT0015</t>
  </si>
  <si>
    <t>EMS-PRINT0016</t>
  </si>
  <si>
    <t>EMS-PRINT0017</t>
  </si>
  <si>
    <t>EMS-PRINT0018</t>
  </si>
  <si>
    <t>EMS-PRINT0019</t>
  </si>
  <si>
    <t>EMS-PRINT0020</t>
  </si>
  <si>
    <t>EMS-PRINT0021</t>
  </si>
  <si>
    <t>EMS-PRINT0022</t>
  </si>
  <si>
    <t>EMS-PRINT0023</t>
  </si>
  <si>
    <t>EMS-PRINT0024</t>
  </si>
  <si>
    <t>EMS-PRINT0025</t>
  </si>
  <si>
    <t>EMS-PRINT0026</t>
  </si>
  <si>
    <t>EMS-PRINT0027</t>
  </si>
  <si>
    <t>EMS-PRINT0028</t>
  </si>
  <si>
    <t>EMS-PRINT0029</t>
  </si>
  <si>
    <t>EMS-PRINT0030</t>
  </si>
  <si>
    <t>EMS-PRINT0031</t>
  </si>
  <si>
    <t>EMS-PRINT0032</t>
  </si>
  <si>
    <t>EMS-PRINT0033</t>
  </si>
  <si>
    <t>EMS-PRINT0034</t>
  </si>
  <si>
    <t>EMS-PRINT0035</t>
  </si>
  <si>
    <t>EMS-PRINT0036</t>
  </si>
  <si>
    <t>EMS-PRINT0037</t>
  </si>
  <si>
    <t>EMS-PRINT0038</t>
  </si>
  <si>
    <t>EMS-PRINT0039</t>
  </si>
  <si>
    <t>EMS-PRINT0040</t>
  </si>
  <si>
    <t>EMS-PRINT0041</t>
  </si>
  <si>
    <t>EMS-PRINT0042</t>
  </si>
  <si>
    <t>EMS-PRINT0043</t>
  </si>
  <si>
    <t>EMS-PRINT0044</t>
  </si>
  <si>
    <t>EMS-PRINT0045</t>
  </si>
  <si>
    <t>EMS-PRINT0046</t>
  </si>
  <si>
    <t>EMS-PRINT0047</t>
  </si>
  <si>
    <t>EMS-PRINT0048</t>
  </si>
  <si>
    <t>EMS-PRINT0049</t>
  </si>
  <si>
    <t>EMS-PRINT0050</t>
  </si>
  <si>
    <t>EMS-PRINT0051</t>
  </si>
  <si>
    <t>EMS-PRINT0052</t>
  </si>
  <si>
    <t>EMS-PRINT0053</t>
  </si>
  <si>
    <t>EMS-PRINT0054</t>
  </si>
  <si>
    <t>EMS-PRINT0055</t>
  </si>
  <si>
    <t>EMS-PRINT0056</t>
  </si>
  <si>
    <t>EMS-PRINT0057</t>
  </si>
  <si>
    <t>EMS-PRINT0058</t>
  </si>
  <si>
    <t>EMS-PRINT0059</t>
  </si>
  <si>
    <t>EMS-PRINT0060</t>
  </si>
  <si>
    <t>EMS-PRINT0061</t>
  </si>
  <si>
    <t>EMS-PRINT0062</t>
  </si>
  <si>
    <t>EMS-PRINT0063</t>
  </si>
  <si>
    <t>EMS-PRINT0064</t>
  </si>
  <si>
    <t>EMS-PRINT0065</t>
  </si>
  <si>
    <t>EMS-PRINT0066</t>
  </si>
  <si>
    <t>EMS-PRINT0067</t>
  </si>
  <si>
    <t>EMS-PRINT0068</t>
  </si>
  <si>
    <t>EMS-PRINT0069</t>
  </si>
  <si>
    <t>EMS-PRINT0070</t>
  </si>
  <si>
    <t>EMS-PRINT0071</t>
  </si>
  <si>
    <t>EMS-PRINT0072</t>
  </si>
  <si>
    <t>EMS-PRINT0073</t>
  </si>
  <si>
    <t>EMS-PRINT0074</t>
  </si>
  <si>
    <t>EMS-PRINT0075</t>
  </si>
  <si>
    <t>EMS-PRINT0076</t>
  </si>
  <si>
    <t>EMS-PRINT0077</t>
  </si>
  <si>
    <t>EMS-PRINT0079</t>
  </si>
  <si>
    <t>EMS-PRINT0080</t>
  </si>
  <si>
    <t>EMS-PRINT0081</t>
  </si>
  <si>
    <t>EMS-PRINT0082</t>
  </si>
  <si>
    <t>EMS-PRINT0083</t>
  </si>
  <si>
    <t>EMS-PRINT0084</t>
  </si>
  <si>
    <t>EMS-PRINT0085</t>
  </si>
  <si>
    <t>EMS-PRINT0086</t>
  </si>
  <si>
    <t>EMS-PRINT0087</t>
  </si>
  <si>
    <t>EMS-PRINT0088</t>
  </si>
  <si>
    <t>EMS-PRINT3204.61</t>
  </si>
  <si>
    <t>EMS-PRINT320.62</t>
  </si>
  <si>
    <t>EMS-PRINT3204.14.00</t>
  </si>
  <si>
    <t>EMS-PRINT35041</t>
  </si>
  <si>
    <t>EMS-PRINT3204.90</t>
  </si>
  <si>
    <t>EMS-PRINT204.1905</t>
  </si>
  <si>
    <t>EMS-PRINT320.78</t>
  </si>
  <si>
    <t>EMS-PRINT3204.1903</t>
  </si>
  <si>
    <t>EMS-PRINT3204.1901</t>
  </si>
  <si>
    <t>EMS-PRINT3204.1900</t>
  </si>
  <si>
    <t>MARTEKS KİMYA TEKSTİL VE TİC. LTD. ŞTİ</t>
  </si>
  <si>
    <t>SAATI S.P.A.</t>
  </si>
  <si>
    <t>BEREN KIMYA</t>
  </si>
  <si>
    <t>DongguanChanglianNewMaterialsTechnologyCo.,Ltd</t>
  </si>
  <si>
    <t>TURAN KİMYA SAN. VE TİC. A.Ş</t>
  </si>
  <si>
    <t>12.12.2026</t>
  </si>
  <si>
    <t>12/12.2026</t>
  </si>
  <si>
    <t>10.12.2026</t>
  </si>
  <si>
    <t>9.12.2026</t>
  </si>
  <si>
    <t>12.12.2025</t>
  </si>
  <si>
    <t>29.12.2026</t>
  </si>
  <si>
    <t>15.12.2026</t>
  </si>
  <si>
    <t>13.12.2026</t>
  </si>
  <si>
    <t>20.12.2025</t>
  </si>
  <si>
    <t>20.2.2026</t>
  </si>
  <si>
    <t>18.12.2025</t>
  </si>
  <si>
    <t>18.2.2025</t>
  </si>
  <si>
    <t>23.12.2025</t>
  </si>
  <si>
    <t>13.12.2025</t>
  </si>
  <si>
    <t>20.5.2026</t>
  </si>
  <si>
    <t>05.12.2026</t>
  </si>
  <si>
    <t>02.11.2026</t>
  </si>
  <si>
    <t>1.8.2026</t>
  </si>
  <si>
    <t>1.7.2026</t>
  </si>
  <si>
    <t>29.12.2025</t>
  </si>
  <si>
    <t>6.12.2025</t>
  </si>
  <si>
    <t>1.12.2025</t>
  </si>
  <si>
    <t>20.5.2025</t>
  </si>
  <si>
    <t>30.7.2026</t>
  </si>
  <si>
    <t>8.2.2026</t>
  </si>
  <si>
    <t>5.2.2026</t>
  </si>
  <si>
    <t>31.3.2026</t>
  </si>
  <si>
    <t>10.12.2025</t>
  </si>
  <si>
    <t>26.1.2026</t>
  </si>
  <si>
    <t>4.3.2026</t>
  </si>
  <si>
    <t>3.3.2026</t>
  </si>
  <si>
    <t>OCTOBER</t>
  </si>
  <si>
    <r>
      <t xml:space="preserve">Year: </t>
    </r>
    <r>
      <rPr>
        <b/>
        <sz val="14"/>
        <color rgb="FF1F4E78"/>
        <rFont val="Arial"/>
        <family val="2"/>
      </rPr>
      <t>2026</t>
    </r>
  </si>
  <si>
    <t>MT 720 FF FLOURESCENT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</si>
</sst>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62"/>
    </font>
    <font>
      <sz val="10"/>
      <name val="Arial"/>
      <family val="2"/>
      <charset val="162"/>
    </font>
    <font>
      <b/>
      <sz val="11"/>
      <color rgb="FF1F4E78"/>
      <name val="Arial"/>
      <family val="2"/>
      <charset val="162"/>
    </font>
    <font>
      <b/>
      <sz val="16"/>
      <color rgb="FFFFFFFF"/>
      <name val="Arial"/>
      <family val="2"/>
      <charset val="162"/>
    </font>
    <font>
      <i/>
      <sz val="10"/>
      <color rgb="FF404040"/>
      <name val="Arial"/>
      <family val="2"/>
      <charset val="162"/>
    </font>
    <font>
      <b/>
      <sz val="10"/>
      <color rgb="FF1F4E78"/>
      <name val="Arial"/>
      <family val="2"/>
      <charset val="162"/>
    </font>
    <font>
      <sz val="10"/>
      <color rgb="FF1F4E78"/>
      <name val="Arial"/>
      <family val="2"/>
      <charset val="162"/>
    </font>
    <font>
      <i/>
      <sz val="9"/>
      <color rgb="FF7F6000"/>
      <name val="Arial"/>
      <family val="2"/>
      <charset val="162"/>
    </font>
    <font>
      <sz val="9"/>
      <color rgb="FF404040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0"/>
      <color rgb="FF000000"/>
      <name val="Calibri"/>
      <family val="2"/>
      <charset val="162"/>
    </font>
    <font>
      <b/>
      <sz val="9"/>
      <color rgb="FF000000"/>
      <name val="Arial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00"/>
      <name val="Arial"/>
      <family val="2"/>
    </font>
    <font>
      <sz val="10"/>
      <color rgb="FF000000"/>
      <name val="Cambria"/>
      <family val="1"/>
      <scheme val="major"/>
    </font>
    <font>
      <sz val="18"/>
      <color rgb="FF1F4E78"/>
      <name val="Arial"/>
      <family val="2"/>
    </font>
    <font>
      <b/>
      <sz val="14"/>
      <color rgb="FF1F4E7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9DC3E6"/>
        <bgColor rgb="FFB7B7B7"/>
      </patternFill>
    </fill>
    <fill>
      <patternFill patternType="solid">
        <fgColor rgb="FF548235"/>
        <bgColor rgb="FF80808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" fontId="12" fillId="10" borderId="1" xfId="0" applyNumberFormat="1" applyFont="1" applyFill="1" applyBorder="1" applyAlignment="1">
      <alignment horizontal="center" vertical="center" wrapText="1"/>
    </xf>
    <xf numFmtId="4" fontId="13" fillId="10" borderId="1" xfId="0" applyNumberFormat="1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17" fillId="9" borderId="1" xfId="0" applyNumberFormat="1" applyFont="1" applyFill="1" applyBorder="1" applyAlignment="1">
      <alignment horizontal="center" vertical="center" wrapText="1"/>
    </xf>
    <xf numFmtId="4" fontId="18" fillId="9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25.5" customHeight="1" x14ac:dyDescent="0.3">
      <c r="A1" s="1" t="s">
        <v>0</v>
      </c>
    </row>
    <row r="2" spans="1:1" ht="15.75" customHeight="1" x14ac:dyDescent="0.3">
      <c r="A2" s="2"/>
    </row>
    <row r="3" spans="1:1" ht="15.75" customHeight="1" x14ac:dyDescent="0.3">
      <c r="A3" s="3" t="s">
        <v>1</v>
      </c>
    </row>
    <row r="4" spans="1:1" ht="27.75" customHeight="1" x14ac:dyDescent="0.3">
      <c r="A4" s="2" t="s">
        <v>2</v>
      </c>
    </row>
    <row r="5" spans="1:1" ht="15.75" customHeight="1" x14ac:dyDescent="0.3">
      <c r="A5" s="2"/>
    </row>
    <row r="6" spans="1:1" ht="15.75" customHeight="1" x14ac:dyDescent="0.3">
      <c r="A6" s="3" t="s">
        <v>3</v>
      </c>
    </row>
    <row r="7" spans="1:1" ht="55.5" customHeight="1" x14ac:dyDescent="0.3">
      <c r="A7" s="2" t="s">
        <v>4</v>
      </c>
    </row>
    <row r="8" spans="1:1" ht="15.75" customHeight="1" x14ac:dyDescent="0.3">
      <c r="A8" s="2"/>
    </row>
    <row r="9" spans="1:1" ht="15.75" customHeight="1" x14ac:dyDescent="0.3">
      <c r="A9" s="3" t="s">
        <v>5</v>
      </c>
    </row>
    <row r="10" spans="1:1" ht="210" customHeight="1" x14ac:dyDescent="0.3">
      <c r="A10" s="2" t="s">
        <v>6</v>
      </c>
    </row>
    <row r="11" spans="1:1" ht="15.75" customHeight="1" x14ac:dyDescent="0.3">
      <c r="A11" s="2"/>
    </row>
    <row r="12" spans="1:1" ht="15.75" customHeight="1" x14ac:dyDescent="0.3">
      <c r="A12" s="3" t="s">
        <v>7</v>
      </c>
    </row>
    <row r="13" spans="1:1" ht="84" customHeight="1" x14ac:dyDescent="0.3">
      <c r="A13" s="2" t="s">
        <v>8</v>
      </c>
    </row>
    <row r="14" spans="1:1" ht="15.75" customHeight="1" x14ac:dyDescent="0.3">
      <c r="A14" s="2"/>
    </row>
    <row r="15" spans="1:1" ht="15.75" customHeight="1" x14ac:dyDescent="0.3">
      <c r="A15" s="3" t="s">
        <v>9</v>
      </c>
    </row>
    <row r="16" spans="1:1" ht="27.75" customHeight="1" x14ac:dyDescent="0.3">
      <c r="A16" s="2" t="s">
        <v>10</v>
      </c>
    </row>
    <row r="17" spans="1:1" ht="15.75" customHeight="1" x14ac:dyDescent="0.3">
      <c r="A17" s="2"/>
    </row>
    <row r="18" spans="1:1" ht="15.75" customHeight="1" x14ac:dyDescent="0.3">
      <c r="A18" s="3" t="s">
        <v>11</v>
      </c>
    </row>
    <row r="19" spans="1:1" ht="27.75" customHeight="1" x14ac:dyDescent="0.3">
      <c r="A19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106"/>
  <sheetViews>
    <sheetView tabSelected="1" zoomScaleNormal="100" workbookViewId="0">
      <pane xSplit="8" ySplit="8" topLeftCell="CK98" activePane="bottomRight" state="frozen"/>
      <selection pane="topRight" activeCell="I1" sqref="I1"/>
      <selection pane="bottomLeft" activeCell="A9" sqref="A9"/>
      <selection pane="bottomRight" activeCell="CM73" sqref="CM73"/>
    </sheetView>
  </sheetViews>
  <sheetFormatPr defaultColWidth="8.6640625" defaultRowHeight="14.4" x14ac:dyDescent="0.3"/>
  <cols>
    <col min="1" max="1" width="6" style="23" customWidth="1"/>
    <col min="2" max="2" width="19" style="23" customWidth="1"/>
    <col min="3" max="3" width="44.5546875" style="23" customWidth="1"/>
    <col min="4" max="4" width="35.109375" style="23" customWidth="1"/>
    <col min="5" max="5" width="18.44140625" style="23" customWidth="1"/>
    <col min="6" max="7" width="14" style="23" customWidth="1"/>
    <col min="8" max="8" width="7.33203125" style="23" customWidth="1"/>
    <col min="9" max="9" width="9.21875" style="23" customWidth="1"/>
    <col min="10" max="10" width="9.5546875" style="23" customWidth="1"/>
    <col min="11" max="11" width="6.6640625" style="23" customWidth="1"/>
    <col min="12" max="12" width="8.21875" style="23" customWidth="1"/>
    <col min="13" max="13" width="7.21875" style="23" customWidth="1"/>
    <col min="14" max="14" width="9.109375" style="23" customWidth="1"/>
    <col min="15" max="15" width="9" style="23" customWidth="1"/>
    <col min="16" max="16" width="8.88671875" style="23" customWidth="1"/>
    <col min="17" max="20" width="8.44140625" style="23" customWidth="1"/>
    <col min="21" max="21" width="9.33203125" style="23" customWidth="1"/>
    <col min="22" max="22" width="9.109375" style="23" customWidth="1"/>
    <col min="23" max="26" width="8.44140625" style="23" customWidth="1"/>
    <col min="27" max="28" width="9.33203125" style="23" customWidth="1"/>
    <col min="29" max="32" width="8.44140625" style="23" customWidth="1"/>
    <col min="33" max="33" width="9.109375" style="23" customWidth="1"/>
    <col min="34" max="34" width="9.21875" style="23" customWidth="1"/>
    <col min="35" max="35" width="7.5546875" style="23" customWidth="1"/>
    <col min="36" max="36" width="7.44140625" style="23" customWidth="1"/>
    <col min="37" max="37" width="6.5546875" style="23" customWidth="1"/>
    <col min="38" max="38" width="8.44140625" style="23" customWidth="1"/>
    <col min="39" max="39" width="9.109375" style="23" customWidth="1"/>
    <col min="40" max="40" width="9.33203125" style="23" customWidth="1"/>
    <col min="41" max="44" width="8.44140625" style="23" customWidth="1"/>
    <col min="45" max="45" width="8.88671875" style="23" customWidth="1"/>
    <col min="46" max="46" width="9.5546875" style="23" customWidth="1"/>
    <col min="47" max="50" width="8.44140625" style="23" customWidth="1"/>
    <col min="51" max="51" width="9.109375" style="23" customWidth="1"/>
    <col min="52" max="52" width="9.33203125" style="23" customWidth="1"/>
    <col min="53" max="56" width="8.44140625" style="23" customWidth="1"/>
    <col min="57" max="58" width="9.109375" style="23" customWidth="1"/>
    <col min="59" max="62" width="8.44140625" style="23" customWidth="1"/>
    <col min="63" max="63" width="9.44140625" style="23" customWidth="1"/>
    <col min="64" max="64" width="8.77734375" style="23" customWidth="1"/>
    <col min="65" max="68" width="8.44140625" style="23" customWidth="1"/>
    <col min="69" max="69" width="9.109375" style="23" customWidth="1"/>
    <col min="70" max="70" width="8.88671875" style="23" customWidth="1"/>
    <col min="71" max="74" width="8.44140625" style="23" customWidth="1"/>
    <col min="75" max="75" width="9" style="23" customWidth="1"/>
    <col min="76" max="76" width="9.21875" style="23" customWidth="1"/>
    <col min="77" max="80" width="8.44140625" style="23" customWidth="1"/>
    <col min="81" max="82" width="9" style="23" customWidth="1"/>
    <col min="83" max="86" width="8.44140625" style="23" customWidth="1"/>
    <col min="87" max="87" width="8.88671875" style="23" customWidth="1"/>
    <col min="88" max="88" width="9.5546875" style="23" customWidth="1"/>
    <col min="89" max="92" width="8.44140625" style="23" customWidth="1"/>
    <col min="93" max="93" width="9.5546875" style="23" customWidth="1"/>
    <col min="94" max="94" width="9.44140625" style="23" customWidth="1"/>
    <col min="95" max="195" width="8.44140625" style="23" customWidth="1"/>
    <col min="196" max="200" width="13" style="23" customWidth="1"/>
    <col min="201" max="16384" width="8.6640625" style="23"/>
  </cols>
  <sheetData>
    <row r="1" spans="1:200" ht="30" customHeight="1" x14ac:dyDescent="0.3">
      <c r="A1" s="30" t="s">
        <v>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</row>
    <row r="2" spans="1:200" ht="15.75" customHeight="1" x14ac:dyDescent="0.3">
      <c r="A2" s="31" t="s">
        <v>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</row>
    <row r="3" spans="1:200" ht="18" customHeight="1" x14ac:dyDescent="0.3">
      <c r="A3" s="32" t="s">
        <v>15</v>
      </c>
      <c r="B3" s="32"/>
      <c r="C3" s="32"/>
      <c r="D3" s="33" t="s">
        <v>398</v>
      </c>
      <c r="E3" s="34"/>
      <c r="F3" s="34"/>
      <c r="G3" s="35" t="s">
        <v>399</v>
      </c>
      <c r="H3" s="35"/>
      <c r="I3" s="35"/>
      <c r="J3" s="34">
        <v>2026</v>
      </c>
      <c r="K3" s="34"/>
      <c r="L3" s="34"/>
      <c r="M3" s="32" t="s">
        <v>16</v>
      </c>
      <c r="N3" s="32"/>
      <c r="O3" s="32"/>
      <c r="P3" s="32"/>
      <c r="Q3" s="36"/>
      <c r="R3" s="36"/>
      <c r="S3" s="36"/>
      <c r="T3" s="36"/>
      <c r="AN3" s="37"/>
      <c r="AO3" s="37"/>
    </row>
    <row r="4" spans="1:200" ht="15.75" customHeight="1" x14ac:dyDescent="0.3">
      <c r="A4" s="38" t="s">
        <v>17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</row>
    <row r="5" spans="1:200" ht="27.75" customHeight="1" x14ac:dyDescent="0.3">
      <c r="A5" s="39" t="s">
        <v>18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</row>
    <row r="6" spans="1:200" ht="6" customHeight="1" x14ac:dyDescent="0.3"/>
    <row r="7" spans="1:200" ht="21.75" customHeight="1" x14ac:dyDescent="0.3">
      <c r="A7" s="40" t="s">
        <v>19</v>
      </c>
      <c r="B7" s="40" t="s">
        <v>20</v>
      </c>
      <c r="C7" s="40" t="s">
        <v>21</v>
      </c>
      <c r="D7" s="40" t="s">
        <v>22</v>
      </c>
      <c r="E7" s="40" t="s">
        <v>23</v>
      </c>
      <c r="F7" s="40" t="s">
        <v>24</v>
      </c>
      <c r="G7" s="40" t="s">
        <v>25</v>
      </c>
      <c r="H7" s="40" t="s">
        <v>26</v>
      </c>
      <c r="I7" s="40" t="s">
        <v>27</v>
      </c>
      <c r="J7" s="41" t="s">
        <v>28</v>
      </c>
      <c r="K7" s="41"/>
      <c r="L7" s="41"/>
      <c r="M7" s="41"/>
      <c r="N7" s="41"/>
      <c r="O7" s="41"/>
      <c r="P7" s="42" t="s">
        <v>29</v>
      </c>
      <c r="Q7" s="42"/>
      <c r="R7" s="42"/>
      <c r="S7" s="42"/>
      <c r="T7" s="42"/>
      <c r="U7" s="42"/>
      <c r="V7" s="41" t="s">
        <v>30</v>
      </c>
      <c r="W7" s="41"/>
      <c r="X7" s="41"/>
      <c r="Y7" s="41"/>
      <c r="Z7" s="41"/>
      <c r="AA7" s="41"/>
      <c r="AB7" s="42" t="s">
        <v>31</v>
      </c>
      <c r="AC7" s="42"/>
      <c r="AD7" s="42"/>
      <c r="AE7" s="42"/>
      <c r="AF7" s="42"/>
      <c r="AG7" s="42"/>
      <c r="AH7" s="41" t="s">
        <v>32</v>
      </c>
      <c r="AI7" s="41"/>
      <c r="AJ7" s="41"/>
      <c r="AK7" s="41"/>
      <c r="AL7" s="41"/>
      <c r="AM7" s="41"/>
      <c r="AN7" s="42" t="s">
        <v>33</v>
      </c>
      <c r="AO7" s="42"/>
      <c r="AP7" s="42"/>
      <c r="AQ7" s="42"/>
      <c r="AR7" s="42"/>
      <c r="AS7" s="42"/>
      <c r="AT7" s="41" t="s">
        <v>34</v>
      </c>
      <c r="AU7" s="41"/>
      <c r="AV7" s="41"/>
      <c r="AW7" s="41"/>
      <c r="AX7" s="41"/>
      <c r="AY7" s="41"/>
      <c r="AZ7" s="42" t="s">
        <v>35</v>
      </c>
      <c r="BA7" s="42"/>
      <c r="BB7" s="42"/>
      <c r="BC7" s="42"/>
      <c r="BD7" s="42"/>
      <c r="BE7" s="42"/>
      <c r="BF7" s="41" t="s">
        <v>36</v>
      </c>
      <c r="BG7" s="41"/>
      <c r="BH7" s="41"/>
      <c r="BI7" s="41"/>
      <c r="BJ7" s="41"/>
      <c r="BK7" s="41"/>
      <c r="BL7" s="42" t="s">
        <v>37</v>
      </c>
      <c r="BM7" s="42"/>
      <c r="BN7" s="42"/>
      <c r="BO7" s="42"/>
      <c r="BP7" s="42"/>
      <c r="BQ7" s="42"/>
      <c r="BR7" s="41" t="s">
        <v>38</v>
      </c>
      <c r="BS7" s="41"/>
      <c r="BT7" s="41"/>
      <c r="BU7" s="41"/>
      <c r="BV7" s="41"/>
      <c r="BW7" s="41"/>
      <c r="BX7" s="42" t="s">
        <v>39</v>
      </c>
      <c r="BY7" s="42"/>
      <c r="BZ7" s="42"/>
      <c r="CA7" s="42"/>
      <c r="CB7" s="42"/>
      <c r="CC7" s="42"/>
      <c r="CD7" s="41" t="s">
        <v>40</v>
      </c>
      <c r="CE7" s="41"/>
      <c r="CF7" s="41"/>
      <c r="CG7" s="41"/>
      <c r="CH7" s="41"/>
      <c r="CI7" s="41"/>
      <c r="CJ7" s="42" t="s">
        <v>41</v>
      </c>
      <c r="CK7" s="42"/>
      <c r="CL7" s="42"/>
      <c r="CM7" s="42"/>
      <c r="CN7" s="42"/>
      <c r="CO7" s="42"/>
      <c r="CP7" s="41" t="s">
        <v>42</v>
      </c>
      <c r="CQ7" s="41"/>
      <c r="CR7" s="41"/>
      <c r="CS7" s="41"/>
      <c r="CT7" s="41"/>
      <c r="CU7" s="41"/>
      <c r="CV7" s="42" t="s">
        <v>43</v>
      </c>
      <c r="CW7" s="42"/>
      <c r="CX7" s="42"/>
      <c r="CY7" s="42"/>
      <c r="CZ7" s="42"/>
      <c r="DA7" s="42"/>
      <c r="DB7" s="41" t="s">
        <v>44</v>
      </c>
      <c r="DC7" s="41"/>
      <c r="DD7" s="41"/>
      <c r="DE7" s="41"/>
      <c r="DF7" s="41"/>
      <c r="DG7" s="41"/>
      <c r="DH7" s="42" t="s">
        <v>45</v>
      </c>
      <c r="DI7" s="42"/>
      <c r="DJ7" s="42"/>
      <c r="DK7" s="42"/>
      <c r="DL7" s="42"/>
      <c r="DM7" s="42"/>
      <c r="DN7" s="41" t="s">
        <v>46</v>
      </c>
      <c r="DO7" s="41"/>
      <c r="DP7" s="41"/>
      <c r="DQ7" s="41"/>
      <c r="DR7" s="41"/>
      <c r="DS7" s="41"/>
      <c r="DT7" s="42" t="s">
        <v>47</v>
      </c>
      <c r="DU7" s="42"/>
      <c r="DV7" s="42"/>
      <c r="DW7" s="42"/>
      <c r="DX7" s="42"/>
      <c r="DY7" s="42"/>
      <c r="DZ7" s="41" t="s">
        <v>48</v>
      </c>
      <c r="EA7" s="41"/>
      <c r="EB7" s="41"/>
      <c r="EC7" s="41"/>
      <c r="ED7" s="41"/>
      <c r="EE7" s="41"/>
      <c r="EF7" s="42" t="s">
        <v>49</v>
      </c>
      <c r="EG7" s="42"/>
      <c r="EH7" s="42"/>
      <c r="EI7" s="42"/>
      <c r="EJ7" s="42"/>
      <c r="EK7" s="42"/>
      <c r="EL7" s="41" t="s">
        <v>50</v>
      </c>
      <c r="EM7" s="41"/>
      <c r="EN7" s="41"/>
      <c r="EO7" s="41"/>
      <c r="EP7" s="41"/>
      <c r="EQ7" s="41"/>
      <c r="ER7" s="42" t="s">
        <v>51</v>
      </c>
      <c r="ES7" s="42"/>
      <c r="ET7" s="42"/>
      <c r="EU7" s="42"/>
      <c r="EV7" s="42"/>
      <c r="EW7" s="42"/>
      <c r="EX7" s="41" t="s">
        <v>52</v>
      </c>
      <c r="EY7" s="41"/>
      <c r="EZ7" s="41"/>
      <c r="FA7" s="41"/>
      <c r="FB7" s="41"/>
      <c r="FC7" s="41"/>
      <c r="FD7" s="42" t="s">
        <v>53</v>
      </c>
      <c r="FE7" s="42"/>
      <c r="FF7" s="42"/>
      <c r="FG7" s="42"/>
      <c r="FH7" s="42"/>
      <c r="FI7" s="42"/>
      <c r="FJ7" s="41" t="s">
        <v>54</v>
      </c>
      <c r="FK7" s="41"/>
      <c r="FL7" s="41"/>
      <c r="FM7" s="41"/>
      <c r="FN7" s="41"/>
      <c r="FO7" s="41"/>
      <c r="FP7" s="42" t="s">
        <v>55</v>
      </c>
      <c r="FQ7" s="42"/>
      <c r="FR7" s="42"/>
      <c r="FS7" s="42"/>
      <c r="FT7" s="42"/>
      <c r="FU7" s="42"/>
      <c r="FV7" s="41" t="s">
        <v>56</v>
      </c>
      <c r="FW7" s="41"/>
      <c r="FX7" s="41"/>
      <c r="FY7" s="41"/>
      <c r="FZ7" s="41"/>
      <c r="GA7" s="41"/>
      <c r="GB7" s="42" t="s">
        <v>57</v>
      </c>
      <c r="GC7" s="42"/>
      <c r="GD7" s="42"/>
      <c r="GE7" s="42"/>
      <c r="GF7" s="42"/>
      <c r="GG7" s="42"/>
      <c r="GH7" s="41" t="s">
        <v>58</v>
      </c>
      <c r="GI7" s="41"/>
      <c r="GJ7" s="41"/>
      <c r="GK7" s="41"/>
      <c r="GL7" s="41"/>
      <c r="GM7" s="41"/>
      <c r="GN7" s="43" t="s">
        <v>59</v>
      </c>
      <c r="GO7" s="43" t="s">
        <v>60</v>
      </c>
      <c r="GP7" s="43" t="s">
        <v>61</v>
      </c>
      <c r="GQ7" s="43" t="s">
        <v>62</v>
      </c>
      <c r="GR7" s="43" t="s">
        <v>63</v>
      </c>
    </row>
    <row r="8" spans="1:200" ht="25.5" customHeight="1" x14ac:dyDescent="0.3">
      <c r="A8" s="40"/>
      <c r="B8" s="40"/>
      <c r="C8" s="40"/>
      <c r="D8" s="40"/>
      <c r="E8" s="40"/>
      <c r="F8" s="40"/>
      <c r="G8" s="40"/>
      <c r="H8" s="40"/>
      <c r="I8" s="40"/>
      <c r="J8" s="4" t="s">
        <v>64</v>
      </c>
      <c r="K8" s="4" t="s">
        <v>65</v>
      </c>
      <c r="L8" s="4" t="s">
        <v>66</v>
      </c>
      <c r="M8" s="4" t="s">
        <v>67</v>
      </c>
      <c r="N8" s="4" t="s">
        <v>68</v>
      </c>
      <c r="O8" s="4" t="s">
        <v>69</v>
      </c>
      <c r="P8" s="5" t="s">
        <v>64</v>
      </c>
      <c r="Q8" s="5" t="s">
        <v>65</v>
      </c>
      <c r="R8" s="5" t="s">
        <v>66</v>
      </c>
      <c r="S8" s="5" t="s">
        <v>67</v>
      </c>
      <c r="T8" s="5" t="s">
        <v>68</v>
      </c>
      <c r="U8" s="5" t="s">
        <v>69</v>
      </c>
      <c r="V8" s="4" t="s">
        <v>64</v>
      </c>
      <c r="W8" s="4" t="s">
        <v>65</v>
      </c>
      <c r="X8" s="4" t="s">
        <v>66</v>
      </c>
      <c r="Y8" s="4" t="s">
        <v>67</v>
      </c>
      <c r="Z8" s="4" t="s">
        <v>68</v>
      </c>
      <c r="AA8" s="4" t="s">
        <v>69</v>
      </c>
      <c r="AB8" s="5" t="s">
        <v>64</v>
      </c>
      <c r="AC8" s="5" t="s">
        <v>65</v>
      </c>
      <c r="AD8" s="5" t="s">
        <v>66</v>
      </c>
      <c r="AE8" s="5" t="s">
        <v>67</v>
      </c>
      <c r="AF8" s="5" t="s">
        <v>68</v>
      </c>
      <c r="AG8" s="5" t="s">
        <v>69</v>
      </c>
      <c r="AH8" s="4" t="s">
        <v>64</v>
      </c>
      <c r="AI8" s="4" t="s">
        <v>65</v>
      </c>
      <c r="AJ8" s="4" t="s">
        <v>66</v>
      </c>
      <c r="AK8" s="4" t="s">
        <v>67</v>
      </c>
      <c r="AL8" s="4" t="s">
        <v>68</v>
      </c>
      <c r="AM8" s="4" t="s">
        <v>69</v>
      </c>
      <c r="AN8" s="5" t="s">
        <v>64</v>
      </c>
      <c r="AO8" s="5" t="s">
        <v>65</v>
      </c>
      <c r="AP8" s="5" t="s">
        <v>66</v>
      </c>
      <c r="AQ8" s="5" t="s">
        <v>67</v>
      </c>
      <c r="AR8" s="5" t="s">
        <v>68</v>
      </c>
      <c r="AS8" s="5" t="s">
        <v>69</v>
      </c>
      <c r="AT8" s="4" t="s">
        <v>64</v>
      </c>
      <c r="AU8" s="4" t="s">
        <v>65</v>
      </c>
      <c r="AV8" s="4" t="s">
        <v>66</v>
      </c>
      <c r="AW8" s="4" t="s">
        <v>67</v>
      </c>
      <c r="AX8" s="4" t="s">
        <v>68</v>
      </c>
      <c r="AY8" s="4" t="s">
        <v>69</v>
      </c>
      <c r="AZ8" s="5" t="s">
        <v>64</v>
      </c>
      <c r="BA8" s="5" t="s">
        <v>65</v>
      </c>
      <c r="BB8" s="5" t="s">
        <v>66</v>
      </c>
      <c r="BC8" s="5" t="s">
        <v>67</v>
      </c>
      <c r="BD8" s="5" t="s">
        <v>68</v>
      </c>
      <c r="BE8" s="5" t="s">
        <v>69</v>
      </c>
      <c r="BF8" s="4" t="s">
        <v>64</v>
      </c>
      <c r="BG8" s="4" t="s">
        <v>65</v>
      </c>
      <c r="BH8" s="4" t="s">
        <v>66</v>
      </c>
      <c r="BI8" s="4" t="s">
        <v>67</v>
      </c>
      <c r="BJ8" s="4" t="s">
        <v>68</v>
      </c>
      <c r="BK8" s="4" t="s">
        <v>69</v>
      </c>
      <c r="BL8" s="5" t="s">
        <v>64</v>
      </c>
      <c r="BM8" s="5" t="s">
        <v>65</v>
      </c>
      <c r="BN8" s="5" t="s">
        <v>66</v>
      </c>
      <c r="BO8" s="5" t="s">
        <v>67</v>
      </c>
      <c r="BP8" s="5" t="s">
        <v>68</v>
      </c>
      <c r="BQ8" s="5" t="s">
        <v>69</v>
      </c>
      <c r="BR8" s="4" t="s">
        <v>64</v>
      </c>
      <c r="BS8" s="4" t="s">
        <v>65</v>
      </c>
      <c r="BT8" s="4" t="s">
        <v>66</v>
      </c>
      <c r="BU8" s="4" t="s">
        <v>67</v>
      </c>
      <c r="BV8" s="4" t="s">
        <v>68</v>
      </c>
      <c r="BW8" s="4" t="s">
        <v>69</v>
      </c>
      <c r="BX8" s="5" t="s">
        <v>64</v>
      </c>
      <c r="BY8" s="5" t="s">
        <v>65</v>
      </c>
      <c r="BZ8" s="5" t="s">
        <v>66</v>
      </c>
      <c r="CA8" s="5" t="s">
        <v>67</v>
      </c>
      <c r="CB8" s="5" t="s">
        <v>68</v>
      </c>
      <c r="CC8" s="5" t="s">
        <v>69</v>
      </c>
      <c r="CD8" s="4" t="s">
        <v>64</v>
      </c>
      <c r="CE8" s="4" t="s">
        <v>65</v>
      </c>
      <c r="CF8" s="4" t="s">
        <v>66</v>
      </c>
      <c r="CG8" s="4" t="s">
        <v>67</v>
      </c>
      <c r="CH8" s="4" t="s">
        <v>68</v>
      </c>
      <c r="CI8" s="4" t="s">
        <v>69</v>
      </c>
      <c r="CJ8" s="5" t="s">
        <v>64</v>
      </c>
      <c r="CK8" s="5" t="s">
        <v>65</v>
      </c>
      <c r="CL8" s="5" t="s">
        <v>66</v>
      </c>
      <c r="CM8" s="5" t="s">
        <v>67</v>
      </c>
      <c r="CN8" s="5" t="s">
        <v>68</v>
      </c>
      <c r="CO8" s="5" t="s">
        <v>69</v>
      </c>
      <c r="CP8" s="4" t="s">
        <v>64</v>
      </c>
      <c r="CQ8" s="4" t="s">
        <v>65</v>
      </c>
      <c r="CR8" s="4" t="s">
        <v>66</v>
      </c>
      <c r="CS8" s="4" t="s">
        <v>67</v>
      </c>
      <c r="CT8" s="4" t="s">
        <v>68</v>
      </c>
      <c r="CU8" s="4" t="s">
        <v>69</v>
      </c>
      <c r="CV8" s="5" t="s">
        <v>64</v>
      </c>
      <c r="CW8" s="5" t="s">
        <v>65</v>
      </c>
      <c r="CX8" s="5" t="s">
        <v>66</v>
      </c>
      <c r="CY8" s="5" t="s">
        <v>67</v>
      </c>
      <c r="CZ8" s="5" t="s">
        <v>68</v>
      </c>
      <c r="DA8" s="5" t="s">
        <v>69</v>
      </c>
      <c r="DB8" s="4" t="s">
        <v>64</v>
      </c>
      <c r="DC8" s="4" t="s">
        <v>65</v>
      </c>
      <c r="DD8" s="4" t="s">
        <v>66</v>
      </c>
      <c r="DE8" s="4" t="s">
        <v>67</v>
      </c>
      <c r="DF8" s="4" t="s">
        <v>68</v>
      </c>
      <c r="DG8" s="4" t="s">
        <v>69</v>
      </c>
      <c r="DH8" s="5" t="s">
        <v>64</v>
      </c>
      <c r="DI8" s="5" t="s">
        <v>65</v>
      </c>
      <c r="DJ8" s="5" t="s">
        <v>66</v>
      </c>
      <c r="DK8" s="5" t="s">
        <v>67</v>
      </c>
      <c r="DL8" s="5" t="s">
        <v>68</v>
      </c>
      <c r="DM8" s="5" t="s">
        <v>69</v>
      </c>
      <c r="DN8" s="4" t="s">
        <v>64</v>
      </c>
      <c r="DO8" s="4" t="s">
        <v>65</v>
      </c>
      <c r="DP8" s="4" t="s">
        <v>66</v>
      </c>
      <c r="DQ8" s="4" t="s">
        <v>67</v>
      </c>
      <c r="DR8" s="4" t="s">
        <v>68</v>
      </c>
      <c r="DS8" s="4" t="s">
        <v>69</v>
      </c>
      <c r="DT8" s="5" t="s">
        <v>64</v>
      </c>
      <c r="DU8" s="5" t="s">
        <v>65</v>
      </c>
      <c r="DV8" s="5" t="s">
        <v>66</v>
      </c>
      <c r="DW8" s="5" t="s">
        <v>67</v>
      </c>
      <c r="DX8" s="5" t="s">
        <v>68</v>
      </c>
      <c r="DY8" s="5" t="s">
        <v>69</v>
      </c>
      <c r="DZ8" s="4" t="s">
        <v>64</v>
      </c>
      <c r="EA8" s="4" t="s">
        <v>65</v>
      </c>
      <c r="EB8" s="4" t="s">
        <v>66</v>
      </c>
      <c r="EC8" s="4" t="s">
        <v>67</v>
      </c>
      <c r="ED8" s="4" t="s">
        <v>68</v>
      </c>
      <c r="EE8" s="4" t="s">
        <v>69</v>
      </c>
      <c r="EF8" s="5" t="s">
        <v>64</v>
      </c>
      <c r="EG8" s="5" t="s">
        <v>65</v>
      </c>
      <c r="EH8" s="5" t="s">
        <v>66</v>
      </c>
      <c r="EI8" s="5" t="s">
        <v>67</v>
      </c>
      <c r="EJ8" s="5" t="s">
        <v>68</v>
      </c>
      <c r="EK8" s="5" t="s">
        <v>69</v>
      </c>
      <c r="EL8" s="4" t="s">
        <v>64</v>
      </c>
      <c r="EM8" s="4" t="s">
        <v>65</v>
      </c>
      <c r="EN8" s="4" t="s">
        <v>66</v>
      </c>
      <c r="EO8" s="4" t="s">
        <v>67</v>
      </c>
      <c r="EP8" s="4" t="s">
        <v>68</v>
      </c>
      <c r="EQ8" s="4" t="s">
        <v>69</v>
      </c>
      <c r="ER8" s="5" t="s">
        <v>64</v>
      </c>
      <c r="ES8" s="5" t="s">
        <v>65</v>
      </c>
      <c r="ET8" s="5" t="s">
        <v>66</v>
      </c>
      <c r="EU8" s="5" t="s">
        <v>67</v>
      </c>
      <c r="EV8" s="5" t="s">
        <v>68</v>
      </c>
      <c r="EW8" s="5" t="s">
        <v>69</v>
      </c>
      <c r="EX8" s="4" t="s">
        <v>64</v>
      </c>
      <c r="EY8" s="4" t="s">
        <v>65</v>
      </c>
      <c r="EZ8" s="4" t="s">
        <v>66</v>
      </c>
      <c r="FA8" s="4" t="s">
        <v>67</v>
      </c>
      <c r="FB8" s="4" t="s">
        <v>68</v>
      </c>
      <c r="FC8" s="4" t="s">
        <v>69</v>
      </c>
      <c r="FD8" s="5" t="s">
        <v>64</v>
      </c>
      <c r="FE8" s="5" t="s">
        <v>65</v>
      </c>
      <c r="FF8" s="5" t="s">
        <v>66</v>
      </c>
      <c r="FG8" s="5" t="s">
        <v>67</v>
      </c>
      <c r="FH8" s="5" t="s">
        <v>68</v>
      </c>
      <c r="FI8" s="5" t="s">
        <v>69</v>
      </c>
      <c r="FJ8" s="4" t="s">
        <v>64</v>
      </c>
      <c r="FK8" s="4" t="s">
        <v>65</v>
      </c>
      <c r="FL8" s="4" t="s">
        <v>66</v>
      </c>
      <c r="FM8" s="4" t="s">
        <v>67</v>
      </c>
      <c r="FN8" s="4" t="s">
        <v>68</v>
      </c>
      <c r="FO8" s="4" t="s">
        <v>69</v>
      </c>
      <c r="FP8" s="5" t="s">
        <v>64</v>
      </c>
      <c r="FQ8" s="5" t="s">
        <v>65</v>
      </c>
      <c r="FR8" s="5" t="s">
        <v>66</v>
      </c>
      <c r="FS8" s="5" t="s">
        <v>67</v>
      </c>
      <c r="FT8" s="5" t="s">
        <v>68</v>
      </c>
      <c r="FU8" s="5" t="s">
        <v>69</v>
      </c>
      <c r="FV8" s="4" t="s">
        <v>64</v>
      </c>
      <c r="FW8" s="4" t="s">
        <v>65</v>
      </c>
      <c r="FX8" s="4" t="s">
        <v>66</v>
      </c>
      <c r="FY8" s="4" t="s">
        <v>67</v>
      </c>
      <c r="FZ8" s="4" t="s">
        <v>68</v>
      </c>
      <c r="GA8" s="4" t="s">
        <v>69</v>
      </c>
      <c r="GB8" s="5" t="s">
        <v>64</v>
      </c>
      <c r="GC8" s="5" t="s">
        <v>65</v>
      </c>
      <c r="GD8" s="5" t="s">
        <v>66</v>
      </c>
      <c r="GE8" s="5" t="s">
        <v>67</v>
      </c>
      <c r="GF8" s="5" t="s">
        <v>68</v>
      </c>
      <c r="GG8" s="5" t="s">
        <v>69</v>
      </c>
      <c r="GH8" s="4" t="s">
        <v>64</v>
      </c>
      <c r="GI8" s="4" t="s">
        <v>65</v>
      </c>
      <c r="GJ8" s="4" t="s">
        <v>66</v>
      </c>
      <c r="GK8" s="4" t="s">
        <v>67</v>
      </c>
      <c r="GL8" s="4" t="s">
        <v>68</v>
      </c>
      <c r="GM8" s="4" t="s">
        <v>69</v>
      </c>
      <c r="GN8" s="43"/>
      <c r="GO8" s="43"/>
      <c r="GP8" s="43"/>
      <c r="GQ8" s="43"/>
      <c r="GR8" s="43"/>
    </row>
    <row r="9" spans="1:200" ht="16.2" customHeight="1" x14ac:dyDescent="0.3">
      <c r="A9" s="6">
        <v>1</v>
      </c>
      <c r="B9" s="22" t="s">
        <v>265</v>
      </c>
      <c r="C9" s="20" t="s">
        <v>181</v>
      </c>
      <c r="D9" s="24" t="s">
        <v>362</v>
      </c>
      <c r="E9" s="16" t="s">
        <v>95</v>
      </c>
      <c r="F9" s="12" t="s">
        <v>375</v>
      </c>
      <c r="G9" s="12" t="s">
        <v>71</v>
      </c>
      <c r="H9" s="7" t="s">
        <v>70</v>
      </c>
      <c r="I9" s="8">
        <v>20</v>
      </c>
      <c r="J9" s="8">
        <v>20</v>
      </c>
      <c r="K9" s="9"/>
      <c r="L9" s="9"/>
      <c r="M9" s="9"/>
      <c r="N9" s="8">
        <f t="shared" ref="N9:N72" si="0">L9-M9</f>
        <v>0</v>
      </c>
      <c r="O9" s="8">
        <f>J9+K9-N9</f>
        <v>20</v>
      </c>
      <c r="P9" s="8">
        <f t="shared" ref="P9:P72" si="1">O9</f>
        <v>20</v>
      </c>
      <c r="Q9" s="9"/>
      <c r="R9" s="9"/>
      <c r="S9" s="9"/>
      <c r="T9" s="8">
        <f t="shared" ref="T9:T72" si="2">R9-S9</f>
        <v>0</v>
      </c>
      <c r="U9" s="8">
        <f t="shared" ref="U9:U72" si="3">P9+Q9-T9</f>
        <v>20</v>
      </c>
      <c r="V9" s="8">
        <f t="shared" ref="V9:V72" si="4">U9</f>
        <v>20</v>
      </c>
      <c r="W9" s="29"/>
      <c r="X9" s="29"/>
      <c r="Y9" s="29"/>
      <c r="Z9" s="8">
        <f t="shared" ref="Z9:Z72" si="5">X9-Y9</f>
        <v>0</v>
      </c>
      <c r="AA9" s="8">
        <f t="shared" ref="AA9:AA72" si="6">V9+W9-Z9</f>
        <v>20</v>
      </c>
      <c r="AB9" s="8">
        <f t="shared" ref="AB9:AB72" si="7">AA9</f>
        <v>20</v>
      </c>
      <c r="AC9" s="29"/>
      <c r="AD9" s="29"/>
      <c r="AE9" s="29"/>
      <c r="AF9" s="8">
        <f t="shared" ref="AF9:AF72" si="8">AD9-AE9</f>
        <v>0</v>
      </c>
      <c r="AG9" s="8">
        <f t="shared" ref="AG9:AG72" si="9">AB9+AC9-AF9</f>
        <v>20</v>
      </c>
      <c r="AH9" s="8">
        <f t="shared" ref="AH9:AH72" si="10">AG9</f>
        <v>20</v>
      </c>
      <c r="AI9" s="29"/>
      <c r="AJ9" s="29"/>
      <c r="AK9" s="29"/>
      <c r="AL9" s="8">
        <f t="shared" ref="AL9:AL72" si="11">AJ9-AK9</f>
        <v>0</v>
      </c>
      <c r="AM9" s="8">
        <f t="shared" ref="AM9:AM72" si="12">AH9+AI9-AL9</f>
        <v>20</v>
      </c>
      <c r="AN9" s="8">
        <f t="shared" ref="AN9:AN72" si="13">AM9</f>
        <v>20</v>
      </c>
      <c r="AO9" s="9"/>
      <c r="AP9" s="9"/>
      <c r="AQ9" s="9"/>
      <c r="AR9" s="8">
        <f t="shared" ref="AR9:AR72" si="14">AP9-AQ9</f>
        <v>0</v>
      </c>
      <c r="AS9" s="8">
        <f t="shared" ref="AS9:AS72" si="15">AN9+AO9-AR9</f>
        <v>20</v>
      </c>
      <c r="AT9" s="8">
        <f t="shared" ref="AT9:AT72" si="16">AS9</f>
        <v>20</v>
      </c>
      <c r="AU9" s="9"/>
      <c r="AV9" s="9"/>
      <c r="AW9" s="9"/>
      <c r="AX9" s="8">
        <f t="shared" ref="AX9:AX72" si="17">AV9-AW9</f>
        <v>0</v>
      </c>
      <c r="AY9" s="8">
        <f t="shared" ref="AY9:AY72" si="18">AT9+AU9-AX9</f>
        <v>20</v>
      </c>
      <c r="AZ9" s="8">
        <f t="shared" ref="AZ9:AZ72" si="19">AY9</f>
        <v>20</v>
      </c>
      <c r="BA9" s="9"/>
      <c r="BB9" s="9"/>
      <c r="BC9" s="9"/>
      <c r="BD9" s="8">
        <f t="shared" ref="BD9:BD72" si="20">BB9-BC9</f>
        <v>0</v>
      </c>
      <c r="BE9" s="8">
        <f t="shared" ref="BE9:BE72" si="21">AZ9+BA9-BD9</f>
        <v>20</v>
      </c>
      <c r="BF9" s="8">
        <f t="shared" ref="BF9:BF72" si="22">BE9</f>
        <v>20</v>
      </c>
      <c r="BG9" s="9"/>
      <c r="BH9" s="9"/>
      <c r="BI9" s="9"/>
      <c r="BJ9" s="8">
        <f t="shared" ref="BJ9:BJ72" si="23">BH9-BI9</f>
        <v>0</v>
      </c>
      <c r="BK9" s="8">
        <f t="shared" ref="BK9:BK72" si="24">BF9+BG9-BJ9</f>
        <v>20</v>
      </c>
      <c r="BL9" s="8">
        <f t="shared" ref="BL9:BL72" si="25">BK9</f>
        <v>20</v>
      </c>
      <c r="BM9" s="9"/>
      <c r="BN9" s="9"/>
      <c r="BO9" s="9"/>
      <c r="BP9" s="8">
        <f t="shared" ref="BP9:BP72" si="26">BN9-BO9</f>
        <v>0</v>
      </c>
      <c r="BQ9" s="8">
        <f t="shared" ref="BQ9:BQ72" si="27">BL9+BM9-BP9</f>
        <v>20</v>
      </c>
      <c r="BR9" s="8">
        <f t="shared" ref="BR9:BR72" si="28">BQ9</f>
        <v>20</v>
      </c>
      <c r="BS9" s="9"/>
      <c r="BT9" s="9"/>
      <c r="BU9" s="9"/>
      <c r="BV9" s="8">
        <f t="shared" ref="BV9:BV72" si="29">BT9-BU9</f>
        <v>0</v>
      </c>
      <c r="BW9" s="8">
        <f t="shared" ref="BW9:BW72" si="30">BR9+BS9-BV9</f>
        <v>20</v>
      </c>
      <c r="BX9" s="8">
        <f t="shared" ref="BX9:BX72" si="31">BW9</f>
        <v>20</v>
      </c>
      <c r="BY9" s="9"/>
      <c r="BZ9" s="9"/>
      <c r="CA9" s="9"/>
      <c r="CB9" s="8">
        <f t="shared" ref="CB9:CB72" si="32">BZ9-CA9</f>
        <v>0</v>
      </c>
      <c r="CC9" s="8">
        <f t="shared" ref="CC9:CC72" si="33">BX9+BY9-CB9</f>
        <v>20</v>
      </c>
      <c r="CD9" s="8">
        <f t="shared" ref="CD9:CD72" si="34">CC9</f>
        <v>20</v>
      </c>
      <c r="CE9" s="9"/>
      <c r="CF9" s="9"/>
      <c r="CG9" s="9"/>
      <c r="CH9" s="8">
        <f t="shared" ref="CH9:CH72" si="35">CF9-CG9</f>
        <v>0</v>
      </c>
      <c r="CI9" s="8">
        <f t="shared" ref="CI9:CI72" si="36">CD9+CE9-CH9</f>
        <v>20</v>
      </c>
      <c r="CJ9" s="8">
        <f t="shared" ref="CJ9:CJ72" si="37">CI9</f>
        <v>20</v>
      </c>
      <c r="CK9" s="9"/>
      <c r="CL9" s="9"/>
      <c r="CM9" s="9"/>
      <c r="CN9" s="8">
        <f t="shared" ref="CN9:CN72" si="38">CL9-CM9</f>
        <v>0</v>
      </c>
      <c r="CO9" s="8">
        <f t="shared" ref="CO9:CO72" si="39">CJ9+CK9-CN9</f>
        <v>20</v>
      </c>
      <c r="CP9" s="8">
        <f t="shared" ref="CP9:CP72" si="40">CO9</f>
        <v>20</v>
      </c>
      <c r="CQ9" s="9"/>
      <c r="CR9" s="9"/>
      <c r="CS9" s="9"/>
      <c r="CT9" s="8">
        <f t="shared" ref="CT9:CT33" si="41">CR9-CS9</f>
        <v>0</v>
      </c>
      <c r="CU9" s="8">
        <f t="shared" ref="CU9:CU33" si="42">CP9+CQ9-CT9</f>
        <v>20</v>
      </c>
      <c r="CV9" s="8">
        <f t="shared" ref="CV9:CV33" si="43">CU9</f>
        <v>20</v>
      </c>
      <c r="CW9" s="9"/>
      <c r="CX9" s="9"/>
      <c r="CY9" s="9"/>
      <c r="CZ9" s="8">
        <f t="shared" ref="CZ9:CZ33" si="44">CX9-CY9</f>
        <v>0</v>
      </c>
      <c r="DA9" s="8">
        <f t="shared" ref="DA9:DA33" si="45">CV9+CW9-CZ9</f>
        <v>20</v>
      </c>
      <c r="DB9" s="8">
        <f t="shared" ref="DB9:DB33" si="46">DA9</f>
        <v>20</v>
      </c>
      <c r="DC9" s="9"/>
      <c r="DD9" s="9"/>
      <c r="DE9" s="9"/>
      <c r="DF9" s="8">
        <f t="shared" ref="DF9:DF33" si="47">DD9-DE9</f>
        <v>0</v>
      </c>
      <c r="DG9" s="8">
        <f t="shared" ref="DG9:DG33" si="48">DB9+DC9-DF9</f>
        <v>20</v>
      </c>
      <c r="DH9" s="8">
        <f t="shared" ref="DH9:DH33" si="49">DG9</f>
        <v>20</v>
      </c>
      <c r="DI9" s="9"/>
      <c r="DJ9" s="9"/>
      <c r="DK9" s="9"/>
      <c r="DL9" s="8">
        <f t="shared" ref="DL9:DL33" si="50">DJ9-DK9</f>
        <v>0</v>
      </c>
      <c r="DM9" s="8">
        <f t="shared" ref="DM9:DM33" si="51">DH9+DI9-DL9</f>
        <v>20</v>
      </c>
      <c r="DN9" s="8">
        <f t="shared" ref="DN9:DN33" si="52">DM9</f>
        <v>20</v>
      </c>
      <c r="DO9" s="9"/>
      <c r="DP9" s="9"/>
      <c r="DQ9" s="9"/>
      <c r="DR9" s="8">
        <f t="shared" ref="DR9:DR33" si="53">DP9-DQ9</f>
        <v>0</v>
      </c>
      <c r="DS9" s="8">
        <f t="shared" ref="DS9:DS33" si="54">DN9+DO9-DR9</f>
        <v>20</v>
      </c>
      <c r="DT9" s="8">
        <f t="shared" ref="DT9:DT33" si="55">DS9</f>
        <v>20</v>
      </c>
      <c r="DU9" s="9"/>
      <c r="DV9" s="9"/>
      <c r="DW9" s="9"/>
      <c r="DX9" s="8">
        <f t="shared" ref="DX9:DX33" si="56">DV9-DW9</f>
        <v>0</v>
      </c>
      <c r="DY9" s="8">
        <f t="shared" ref="DY9:DY33" si="57">DT9+DU9-DX9</f>
        <v>20</v>
      </c>
      <c r="DZ9" s="8">
        <f t="shared" ref="DZ9:DZ33" si="58">DY9</f>
        <v>20</v>
      </c>
      <c r="EA9" s="9"/>
      <c r="EB9" s="9"/>
      <c r="EC9" s="9"/>
      <c r="ED9" s="8">
        <f t="shared" ref="ED9:ED33" si="59">EB9-EC9</f>
        <v>0</v>
      </c>
      <c r="EE9" s="8">
        <f t="shared" ref="EE9:EE33" si="60">DZ9+EA9-ED9</f>
        <v>20</v>
      </c>
      <c r="EF9" s="8">
        <f t="shared" ref="EF9:EF33" si="61">EE9</f>
        <v>20</v>
      </c>
      <c r="EG9" s="9"/>
      <c r="EH9" s="9"/>
      <c r="EI9" s="9"/>
      <c r="EJ9" s="8">
        <f t="shared" ref="EJ9:EJ33" si="62">EH9-EI9</f>
        <v>0</v>
      </c>
      <c r="EK9" s="8">
        <f t="shared" ref="EK9:EK33" si="63">EF9+EG9-EJ9</f>
        <v>20</v>
      </c>
      <c r="EL9" s="8">
        <f t="shared" ref="EL9:EL33" si="64">EK9</f>
        <v>20</v>
      </c>
      <c r="EM9" s="9"/>
      <c r="EN9" s="9"/>
      <c r="EO9" s="9"/>
      <c r="EP9" s="8">
        <f t="shared" ref="EP9:EP33" si="65">EN9-EO9</f>
        <v>0</v>
      </c>
      <c r="EQ9" s="8">
        <f t="shared" ref="EQ9:EQ33" si="66">EL9+EM9-EP9</f>
        <v>20</v>
      </c>
      <c r="ER9" s="8">
        <f t="shared" ref="ER9:ER33" si="67">EQ9</f>
        <v>20</v>
      </c>
      <c r="ES9" s="9"/>
      <c r="ET9" s="9"/>
      <c r="EU9" s="9"/>
      <c r="EV9" s="8">
        <f t="shared" ref="EV9:EV33" si="68">ET9-EU9</f>
        <v>0</v>
      </c>
      <c r="EW9" s="8">
        <f t="shared" ref="EW9:EW33" si="69">ER9+ES9-EV9</f>
        <v>20</v>
      </c>
      <c r="EX9" s="8">
        <f t="shared" ref="EX9:EX33" si="70">EW9</f>
        <v>20</v>
      </c>
      <c r="EY9" s="9"/>
      <c r="EZ9" s="9"/>
      <c r="FA9" s="9"/>
      <c r="FB9" s="8">
        <f t="shared" ref="FB9:FB33" si="71">EZ9-FA9</f>
        <v>0</v>
      </c>
      <c r="FC9" s="8">
        <f t="shared" ref="FC9:FC33" si="72">EX9+EY9-FB9</f>
        <v>20</v>
      </c>
      <c r="FD9" s="8">
        <f t="shared" ref="FD9:FD33" si="73">FC9</f>
        <v>20</v>
      </c>
      <c r="FE9" s="9"/>
      <c r="FF9" s="9"/>
      <c r="FG9" s="9"/>
      <c r="FH9" s="8">
        <f t="shared" ref="FH9:FH33" si="74">FF9-FG9</f>
        <v>0</v>
      </c>
      <c r="FI9" s="8">
        <f t="shared" ref="FI9:FI33" si="75">FD9+FE9-FH9</f>
        <v>20</v>
      </c>
      <c r="FJ9" s="8">
        <f t="shared" ref="FJ9:FJ33" si="76">FI9</f>
        <v>20</v>
      </c>
      <c r="FK9" s="9"/>
      <c r="FL9" s="9"/>
      <c r="FM9" s="9"/>
      <c r="FN9" s="8">
        <f t="shared" ref="FN9:FN33" si="77">FL9-FM9</f>
        <v>0</v>
      </c>
      <c r="FO9" s="8">
        <f t="shared" ref="FO9:FO33" si="78">FJ9+FK9-FN9</f>
        <v>20</v>
      </c>
      <c r="FP9" s="8">
        <f t="shared" ref="FP9:FP33" si="79">FO9</f>
        <v>20</v>
      </c>
      <c r="FQ9" s="9"/>
      <c r="FR9" s="9"/>
      <c r="FS9" s="9"/>
      <c r="FT9" s="8">
        <f t="shared" ref="FT9:FT33" si="80">FR9-FS9</f>
        <v>0</v>
      </c>
      <c r="FU9" s="8">
        <f t="shared" ref="FU9:FU33" si="81">FP9+FQ9-FT9</f>
        <v>20</v>
      </c>
      <c r="FV9" s="8">
        <f t="shared" ref="FV9:FV33" si="82">FU9</f>
        <v>20</v>
      </c>
      <c r="FW9" s="9"/>
      <c r="FX9" s="9"/>
      <c r="FY9" s="9"/>
      <c r="FZ9" s="8">
        <f t="shared" ref="FZ9:FZ33" si="83">FX9-FY9</f>
        <v>0</v>
      </c>
      <c r="GA9" s="8">
        <f t="shared" ref="GA9:GA33" si="84">FV9+FW9-FZ9</f>
        <v>20</v>
      </c>
      <c r="GB9" s="8">
        <f t="shared" ref="GB9:GB33" si="85">GA9</f>
        <v>20</v>
      </c>
      <c r="GC9" s="9"/>
      <c r="GD9" s="9"/>
      <c r="GE9" s="9"/>
      <c r="GF9" s="8">
        <f t="shared" ref="GF9:GF33" si="86">GD9-GE9</f>
        <v>0</v>
      </c>
      <c r="GG9" s="8">
        <f t="shared" ref="GG9:GG33" si="87">GB9+GC9-GF9</f>
        <v>20</v>
      </c>
      <c r="GH9" s="8">
        <f t="shared" ref="GH9:GH33" si="88">GG9</f>
        <v>20</v>
      </c>
      <c r="GI9" s="9"/>
      <c r="GJ9" s="9"/>
      <c r="GK9" s="9"/>
      <c r="GL9" s="8">
        <f t="shared" ref="GL9:GL33" si="89">GJ9-GK9</f>
        <v>0</v>
      </c>
      <c r="GM9" s="8">
        <f t="shared" ref="GM9:GM33" si="90">GH9+GI9-GL9</f>
        <v>20</v>
      </c>
      <c r="GN9" s="10">
        <f t="shared" ref="GN9:GN33" si="91">K9+Q9+W9+AC9+AI9+AO9+AU9+BA9+BG9+BM9+BS9+BY9+CE9+CK9+CQ9+CW9+DC9+DI9+DO9+DU9+EA9+EG9+EM9+ES9+EY9+FE9+FK9+FQ9+FW9+GC9+GI9</f>
        <v>0</v>
      </c>
      <c r="GO9" s="10">
        <f t="shared" ref="GO9:GO33" si="92">L9+R9+X9+AD9+AJ9+AP9+AV9+BB9+BH9+BN9+BT9+BZ9+CF9+CL9+CR9+CX9+DD9+DJ9+DP9+DV9+EB9+EH9+EN9+ET9+EZ9+FF9+FL9+FR9+FX9+GD9+GJ9</f>
        <v>0</v>
      </c>
      <c r="GP9" s="10">
        <f t="shared" ref="GP9:GP33" si="93">M9+S9+Y9+AE9+AK9+AQ9+AW9+BC9+BI9+BO9+BU9+CA9+CG9+CM9+CS9+CY9+DE9+DK9+DQ9+DW9+EC9+EI9+EO9+EU9+FA9+FG9+FM9+FS9+FY9+GE9+GK9</f>
        <v>0</v>
      </c>
      <c r="GQ9" s="11">
        <f t="shared" ref="GQ9:GQ33" si="94">N9+T9+Z9+AF9+AL9+AR9+AX9+BD9+BJ9+BP9+BV9+CB9+CH9+CN9+CT9+CZ9+DF9+DL9+DR9+DX9+ED9+EJ9+EP9+EV9+FB9+FH9+FN9+FT9+FZ9+GF9+GL9</f>
        <v>0</v>
      </c>
      <c r="GR9" s="11">
        <f t="shared" ref="GR9:GR33" si="95">GM9</f>
        <v>20</v>
      </c>
    </row>
    <row r="10" spans="1:200" ht="15.75" customHeight="1" x14ac:dyDescent="0.3">
      <c r="A10" s="6">
        <v>2</v>
      </c>
      <c r="B10" s="22" t="s">
        <v>266</v>
      </c>
      <c r="C10" s="20" t="s">
        <v>182</v>
      </c>
      <c r="D10" s="24" t="s">
        <v>362</v>
      </c>
      <c r="E10" s="16" t="s">
        <v>96</v>
      </c>
      <c r="F10" s="12" t="s">
        <v>375</v>
      </c>
      <c r="G10" s="12" t="s">
        <v>71</v>
      </c>
      <c r="H10" s="7" t="s">
        <v>70</v>
      </c>
      <c r="I10" s="8">
        <v>1.992</v>
      </c>
      <c r="J10" s="8">
        <v>1.992</v>
      </c>
      <c r="K10" s="9"/>
      <c r="L10" s="9"/>
      <c r="M10" s="9"/>
      <c r="N10" s="8">
        <f t="shared" si="0"/>
        <v>0</v>
      </c>
      <c r="O10" s="8">
        <f t="shared" ref="O10:O73" si="96">J10+K10-N10</f>
        <v>1.992</v>
      </c>
      <c r="P10" s="8">
        <f t="shared" si="1"/>
        <v>1.992</v>
      </c>
      <c r="Q10" s="9"/>
      <c r="R10" s="9"/>
      <c r="S10" s="9"/>
      <c r="T10" s="8">
        <f t="shared" si="2"/>
        <v>0</v>
      </c>
      <c r="U10" s="8">
        <f t="shared" si="3"/>
        <v>1.992</v>
      </c>
      <c r="V10" s="8">
        <f t="shared" si="4"/>
        <v>1.992</v>
      </c>
      <c r="W10" s="29"/>
      <c r="X10" s="29">
        <v>0</v>
      </c>
      <c r="Y10" s="29">
        <v>0</v>
      </c>
      <c r="Z10" s="8">
        <f t="shared" si="5"/>
        <v>0</v>
      </c>
      <c r="AA10" s="8">
        <f t="shared" si="6"/>
        <v>1.992</v>
      </c>
      <c r="AB10" s="8">
        <f t="shared" si="7"/>
        <v>1.992</v>
      </c>
      <c r="AC10" s="29"/>
      <c r="AD10" s="29"/>
      <c r="AE10" s="29"/>
      <c r="AF10" s="8">
        <f t="shared" si="8"/>
        <v>0</v>
      </c>
      <c r="AG10" s="8">
        <f t="shared" si="9"/>
        <v>1.992</v>
      </c>
      <c r="AH10" s="8">
        <f t="shared" si="10"/>
        <v>1.992</v>
      </c>
      <c r="AI10" s="29"/>
      <c r="AJ10" s="29"/>
      <c r="AK10" s="29"/>
      <c r="AL10" s="8">
        <f t="shared" si="11"/>
        <v>0</v>
      </c>
      <c r="AM10" s="8">
        <f t="shared" si="12"/>
        <v>1.992</v>
      </c>
      <c r="AN10" s="8">
        <f t="shared" si="13"/>
        <v>1.992</v>
      </c>
      <c r="AO10" s="9"/>
      <c r="AP10" s="9">
        <v>5.0000000000000001E-3</v>
      </c>
      <c r="AQ10" s="9">
        <v>0</v>
      </c>
      <c r="AR10" s="8">
        <f t="shared" si="14"/>
        <v>5.0000000000000001E-3</v>
      </c>
      <c r="AS10" s="8">
        <f t="shared" si="15"/>
        <v>1.9870000000000001</v>
      </c>
      <c r="AT10" s="8">
        <f t="shared" si="16"/>
        <v>1.9870000000000001</v>
      </c>
      <c r="AU10" s="9"/>
      <c r="AV10" s="9">
        <v>5.0000000000000001E-3</v>
      </c>
      <c r="AW10" s="9">
        <v>0</v>
      </c>
      <c r="AX10" s="8">
        <f t="shared" si="17"/>
        <v>5.0000000000000001E-3</v>
      </c>
      <c r="AY10" s="8">
        <f t="shared" si="18"/>
        <v>1.9820000000000002</v>
      </c>
      <c r="AZ10" s="8">
        <f t="shared" si="19"/>
        <v>1.9820000000000002</v>
      </c>
      <c r="BA10" s="9"/>
      <c r="BB10" s="9"/>
      <c r="BC10" s="9"/>
      <c r="BD10" s="8">
        <f t="shared" si="20"/>
        <v>0</v>
      </c>
      <c r="BE10" s="8">
        <f t="shared" si="21"/>
        <v>1.9820000000000002</v>
      </c>
      <c r="BF10" s="8">
        <f t="shared" si="22"/>
        <v>1.9820000000000002</v>
      </c>
      <c r="BG10" s="9"/>
      <c r="BH10" s="9"/>
      <c r="BI10" s="9"/>
      <c r="BJ10" s="8">
        <f t="shared" si="23"/>
        <v>0</v>
      </c>
      <c r="BK10" s="8">
        <f t="shared" si="24"/>
        <v>1.9820000000000002</v>
      </c>
      <c r="BL10" s="8">
        <f t="shared" si="25"/>
        <v>1.9820000000000002</v>
      </c>
      <c r="BM10" s="9"/>
      <c r="BN10" s="9">
        <v>0.05</v>
      </c>
      <c r="BO10" s="9">
        <v>0</v>
      </c>
      <c r="BP10" s="8">
        <f t="shared" si="26"/>
        <v>0.05</v>
      </c>
      <c r="BQ10" s="8">
        <f t="shared" si="27"/>
        <v>1.9320000000000002</v>
      </c>
      <c r="BR10" s="8">
        <f t="shared" si="28"/>
        <v>1.9320000000000002</v>
      </c>
      <c r="BS10" s="9"/>
      <c r="BT10" s="9"/>
      <c r="BU10" s="9"/>
      <c r="BV10" s="8">
        <f t="shared" si="29"/>
        <v>0</v>
      </c>
      <c r="BW10" s="8">
        <f t="shared" si="30"/>
        <v>1.9320000000000002</v>
      </c>
      <c r="BX10" s="8">
        <f t="shared" si="31"/>
        <v>1.9320000000000002</v>
      </c>
      <c r="BY10" s="9"/>
      <c r="BZ10" s="9">
        <v>0.2</v>
      </c>
      <c r="CA10" s="9">
        <v>0</v>
      </c>
      <c r="CB10" s="8">
        <f t="shared" si="32"/>
        <v>0.2</v>
      </c>
      <c r="CC10" s="8">
        <f t="shared" si="33"/>
        <v>1.7320000000000002</v>
      </c>
      <c r="CD10" s="8">
        <f t="shared" si="34"/>
        <v>1.7320000000000002</v>
      </c>
      <c r="CE10" s="9"/>
      <c r="CF10" s="9">
        <v>0.24</v>
      </c>
      <c r="CG10" s="9">
        <v>0</v>
      </c>
      <c r="CH10" s="8">
        <f t="shared" si="35"/>
        <v>0.24</v>
      </c>
      <c r="CI10" s="8">
        <f t="shared" si="36"/>
        <v>1.4920000000000002</v>
      </c>
      <c r="CJ10" s="8">
        <f t="shared" si="37"/>
        <v>1.4920000000000002</v>
      </c>
      <c r="CK10" s="9"/>
      <c r="CL10" s="9">
        <v>0.05</v>
      </c>
      <c r="CM10" s="9">
        <v>0</v>
      </c>
      <c r="CN10" s="8">
        <f t="shared" si="38"/>
        <v>0.05</v>
      </c>
      <c r="CO10" s="8">
        <f t="shared" si="39"/>
        <v>1.4420000000000002</v>
      </c>
      <c r="CP10" s="8">
        <f t="shared" si="40"/>
        <v>1.4420000000000002</v>
      </c>
      <c r="CQ10" s="9"/>
      <c r="CR10" s="9"/>
      <c r="CS10" s="9"/>
      <c r="CT10" s="8">
        <f t="shared" si="41"/>
        <v>0</v>
      </c>
      <c r="CU10" s="8">
        <f t="shared" si="42"/>
        <v>1.4420000000000002</v>
      </c>
      <c r="CV10" s="8">
        <f t="shared" si="43"/>
        <v>1.4420000000000002</v>
      </c>
      <c r="CW10" s="9"/>
      <c r="CX10" s="9"/>
      <c r="CY10" s="9"/>
      <c r="CZ10" s="8">
        <f t="shared" si="44"/>
        <v>0</v>
      </c>
      <c r="DA10" s="8">
        <f t="shared" si="45"/>
        <v>1.4420000000000002</v>
      </c>
      <c r="DB10" s="8">
        <f t="shared" si="46"/>
        <v>1.4420000000000002</v>
      </c>
      <c r="DC10" s="9"/>
      <c r="DD10" s="9"/>
      <c r="DE10" s="9"/>
      <c r="DF10" s="8">
        <f t="shared" si="47"/>
        <v>0</v>
      </c>
      <c r="DG10" s="8">
        <f t="shared" si="48"/>
        <v>1.4420000000000002</v>
      </c>
      <c r="DH10" s="8">
        <f t="shared" si="49"/>
        <v>1.4420000000000002</v>
      </c>
      <c r="DI10" s="9"/>
      <c r="DJ10" s="9"/>
      <c r="DK10" s="9"/>
      <c r="DL10" s="8">
        <f t="shared" si="50"/>
        <v>0</v>
      </c>
      <c r="DM10" s="8">
        <f t="shared" si="51"/>
        <v>1.4420000000000002</v>
      </c>
      <c r="DN10" s="8">
        <f t="shared" si="52"/>
        <v>1.4420000000000002</v>
      </c>
      <c r="DO10" s="9"/>
      <c r="DP10" s="9"/>
      <c r="DQ10" s="9"/>
      <c r="DR10" s="8">
        <f t="shared" si="53"/>
        <v>0</v>
      </c>
      <c r="DS10" s="8">
        <f t="shared" si="54"/>
        <v>1.4420000000000002</v>
      </c>
      <c r="DT10" s="8">
        <f t="shared" si="55"/>
        <v>1.4420000000000002</v>
      </c>
      <c r="DU10" s="9"/>
      <c r="DV10" s="9"/>
      <c r="DW10" s="9"/>
      <c r="DX10" s="8">
        <f t="shared" si="56"/>
        <v>0</v>
      </c>
      <c r="DY10" s="8">
        <f t="shared" si="57"/>
        <v>1.4420000000000002</v>
      </c>
      <c r="DZ10" s="8">
        <f t="shared" si="58"/>
        <v>1.4420000000000002</v>
      </c>
      <c r="EA10" s="9"/>
      <c r="EB10" s="9"/>
      <c r="EC10" s="9"/>
      <c r="ED10" s="8">
        <f t="shared" si="59"/>
        <v>0</v>
      </c>
      <c r="EE10" s="8">
        <f t="shared" si="60"/>
        <v>1.4420000000000002</v>
      </c>
      <c r="EF10" s="8">
        <f t="shared" si="61"/>
        <v>1.4420000000000002</v>
      </c>
      <c r="EG10" s="9"/>
      <c r="EH10" s="9"/>
      <c r="EI10" s="9"/>
      <c r="EJ10" s="8">
        <f t="shared" si="62"/>
        <v>0</v>
      </c>
      <c r="EK10" s="8">
        <f t="shared" si="63"/>
        <v>1.4420000000000002</v>
      </c>
      <c r="EL10" s="8">
        <f t="shared" si="64"/>
        <v>1.4420000000000002</v>
      </c>
      <c r="EM10" s="9"/>
      <c r="EN10" s="9"/>
      <c r="EO10" s="9"/>
      <c r="EP10" s="8">
        <f t="shared" si="65"/>
        <v>0</v>
      </c>
      <c r="EQ10" s="8">
        <f t="shared" si="66"/>
        <v>1.4420000000000002</v>
      </c>
      <c r="ER10" s="8">
        <f t="shared" si="67"/>
        <v>1.4420000000000002</v>
      </c>
      <c r="ES10" s="9"/>
      <c r="ET10" s="9"/>
      <c r="EU10" s="9"/>
      <c r="EV10" s="8">
        <f t="shared" si="68"/>
        <v>0</v>
      </c>
      <c r="EW10" s="8">
        <f t="shared" si="69"/>
        <v>1.4420000000000002</v>
      </c>
      <c r="EX10" s="8">
        <f t="shared" si="70"/>
        <v>1.4420000000000002</v>
      </c>
      <c r="EY10" s="9"/>
      <c r="EZ10" s="9"/>
      <c r="FA10" s="9"/>
      <c r="FB10" s="8">
        <f t="shared" si="71"/>
        <v>0</v>
      </c>
      <c r="FC10" s="8">
        <f t="shared" si="72"/>
        <v>1.4420000000000002</v>
      </c>
      <c r="FD10" s="8">
        <f t="shared" si="73"/>
        <v>1.4420000000000002</v>
      </c>
      <c r="FE10" s="9"/>
      <c r="FF10" s="9"/>
      <c r="FG10" s="9"/>
      <c r="FH10" s="8">
        <f t="shared" si="74"/>
        <v>0</v>
      </c>
      <c r="FI10" s="8">
        <f t="shared" si="75"/>
        <v>1.4420000000000002</v>
      </c>
      <c r="FJ10" s="8">
        <f t="shared" si="76"/>
        <v>1.4420000000000002</v>
      </c>
      <c r="FK10" s="9"/>
      <c r="FL10" s="9"/>
      <c r="FM10" s="9"/>
      <c r="FN10" s="8">
        <f t="shared" si="77"/>
        <v>0</v>
      </c>
      <c r="FO10" s="8">
        <f t="shared" si="78"/>
        <v>1.4420000000000002</v>
      </c>
      <c r="FP10" s="8">
        <f t="shared" si="79"/>
        <v>1.4420000000000002</v>
      </c>
      <c r="FQ10" s="9"/>
      <c r="FR10" s="9"/>
      <c r="FS10" s="9"/>
      <c r="FT10" s="8">
        <f t="shared" si="80"/>
        <v>0</v>
      </c>
      <c r="FU10" s="8">
        <f t="shared" si="81"/>
        <v>1.4420000000000002</v>
      </c>
      <c r="FV10" s="8">
        <f t="shared" si="82"/>
        <v>1.4420000000000002</v>
      </c>
      <c r="FW10" s="9"/>
      <c r="FX10" s="9"/>
      <c r="FY10" s="9"/>
      <c r="FZ10" s="8">
        <f t="shared" si="83"/>
        <v>0</v>
      </c>
      <c r="GA10" s="8">
        <f t="shared" si="84"/>
        <v>1.4420000000000002</v>
      </c>
      <c r="GB10" s="8">
        <f t="shared" si="85"/>
        <v>1.4420000000000002</v>
      </c>
      <c r="GC10" s="9"/>
      <c r="GD10" s="9"/>
      <c r="GE10" s="9"/>
      <c r="GF10" s="8">
        <f t="shared" si="86"/>
        <v>0</v>
      </c>
      <c r="GG10" s="8">
        <f t="shared" si="87"/>
        <v>1.4420000000000002</v>
      </c>
      <c r="GH10" s="8">
        <f t="shared" si="88"/>
        <v>1.4420000000000002</v>
      </c>
      <c r="GI10" s="9"/>
      <c r="GJ10" s="9"/>
      <c r="GK10" s="9"/>
      <c r="GL10" s="8">
        <f t="shared" si="89"/>
        <v>0</v>
      </c>
      <c r="GM10" s="8">
        <f t="shared" si="90"/>
        <v>1.4420000000000002</v>
      </c>
      <c r="GN10" s="10">
        <f t="shared" si="91"/>
        <v>0</v>
      </c>
      <c r="GO10" s="10">
        <f t="shared" si="92"/>
        <v>0.55000000000000004</v>
      </c>
      <c r="GP10" s="10">
        <f t="shared" si="93"/>
        <v>0</v>
      </c>
      <c r="GQ10" s="11">
        <f t="shared" si="94"/>
        <v>0.55000000000000004</v>
      </c>
      <c r="GR10" s="11">
        <f t="shared" si="95"/>
        <v>1.4420000000000002</v>
      </c>
    </row>
    <row r="11" spans="1:200" ht="15.75" customHeight="1" x14ac:dyDescent="0.3">
      <c r="A11" s="6">
        <v>3</v>
      </c>
      <c r="B11" s="22" t="s">
        <v>267</v>
      </c>
      <c r="C11" s="20" t="s">
        <v>183</v>
      </c>
      <c r="D11" s="24" t="s">
        <v>362</v>
      </c>
      <c r="E11" s="16" t="s">
        <v>97</v>
      </c>
      <c r="F11" s="12" t="s">
        <v>375</v>
      </c>
      <c r="G11" s="12" t="s">
        <v>71</v>
      </c>
      <c r="H11" s="7" t="s">
        <v>70</v>
      </c>
      <c r="I11" s="8">
        <v>10</v>
      </c>
      <c r="J11" s="8">
        <v>10</v>
      </c>
      <c r="K11" s="9"/>
      <c r="L11" s="9"/>
      <c r="M11" s="9"/>
      <c r="N11" s="8">
        <f t="shared" si="0"/>
        <v>0</v>
      </c>
      <c r="O11" s="8">
        <f t="shared" si="96"/>
        <v>10</v>
      </c>
      <c r="P11" s="8">
        <f t="shared" si="1"/>
        <v>10</v>
      </c>
      <c r="Q11" s="9"/>
      <c r="R11" s="9"/>
      <c r="S11" s="9"/>
      <c r="T11" s="8">
        <f t="shared" si="2"/>
        <v>0</v>
      </c>
      <c r="U11" s="8">
        <f t="shared" si="3"/>
        <v>10</v>
      </c>
      <c r="V11" s="8">
        <f t="shared" si="4"/>
        <v>10</v>
      </c>
      <c r="W11" s="29"/>
      <c r="X11" s="29"/>
      <c r="Y11" s="29"/>
      <c r="Z11" s="8">
        <f t="shared" si="5"/>
        <v>0</v>
      </c>
      <c r="AA11" s="8">
        <f t="shared" si="6"/>
        <v>10</v>
      </c>
      <c r="AB11" s="8">
        <f t="shared" si="7"/>
        <v>10</v>
      </c>
      <c r="AC11" s="29"/>
      <c r="AD11" s="29"/>
      <c r="AE11" s="29"/>
      <c r="AF11" s="8">
        <f t="shared" si="8"/>
        <v>0</v>
      </c>
      <c r="AG11" s="8">
        <f t="shared" si="9"/>
        <v>10</v>
      </c>
      <c r="AH11" s="8">
        <f t="shared" si="10"/>
        <v>10</v>
      </c>
      <c r="AI11" s="29"/>
      <c r="AJ11" s="29"/>
      <c r="AK11" s="29"/>
      <c r="AL11" s="8">
        <f t="shared" si="11"/>
        <v>0</v>
      </c>
      <c r="AM11" s="8">
        <f t="shared" si="12"/>
        <v>10</v>
      </c>
      <c r="AN11" s="8">
        <f t="shared" si="13"/>
        <v>10</v>
      </c>
      <c r="AO11" s="9"/>
      <c r="AP11" s="9"/>
      <c r="AQ11" s="9"/>
      <c r="AR11" s="8">
        <f t="shared" si="14"/>
        <v>0</v>
      </c>
      <c r="AS11" s="8">
        <f t="shared" si="15"/>
        <v>10</v>
      </c>
      <c r="AT11" s="8">
        <f t="shared" si="16"/>
        <v>10</v>
      </c>
      <c r="AU11" s="9"/>
      <c r="AV11" s="9"/>
      <c r="AW11" s="9"/>
      <c r="AX11" s="8">
        <f t="shared" si="17"/>
        <v>0</v>
      </c>
      <c r="AY11" s="8">
        <f t="shared" si="18"/>
        <v>10</v>
      </c>
      <c r="AZ11" s="8">
        <f t="shared" si="19"/>
        <v>10</v>
      </c>
      <c r="BA11" s="9"/>
      <c r="BB11" s="9"/>
      <c r="BC11" s="9"/>
      <c r="BD11" s="8">
        <f t="shared" si="20"/>
        <v>0</v>
      </c>
      <c r="BE11" s="8">
        <f t="shared" si="21"/>
        <v>10</v>
      </c>
      <c r="BF11" s="8">
        <f t="shared" si="22"/>
        <v>10</v>
      </c>
      <c r="BG11" s="9"/>
      <c r="BH11" s="9"/>
      <c r="BI11" s="9"/>
      <c r="BJ11" s="8">
        <f t="shared" si="23"/>
        <v>0</v>
      </c>
      <c r="BK11" s="8">
        <f t="shared" si="24"/>
        <v>10</v>
      </c>
      <c r="BL11" s="8">
        <f t="shared" si="25"/>
        <v>10</v>
      </c>
      <c r="BM11" s="9"/>
      <c r="BN11" s="9"/>
      <c r="BO11" s="9"/>
      <c r="BP11" s="8">
        <f t="shared" si="26"/>
        <v>0</v>
      </c>
      <c r="BQ11" s="8">
        <f t="shared" si="27"/>
        <v>10</v>
      </c>
      <c r="BR11" s="8">
        <f t="shared" si="28"/>
        <v>10</v>
      </c>
      <c r="BS11" s="9"/>
      <c r="BT11" s="9"/>
      <c r="BU11" s="9"/>
      <c r="BV11" s="8">
        <f t="shared" si="29"/>
        <v>0</v>
      </c>
      <c r="BW11" s="8">
        <f t="shared" si="30"/>
        <v>10</v>
      </c>
      <c r="BX11" s="8">
        <f t="shared" si="31"/>
        <v>10</v>
      </c>
      <c r="BY11" s="9"/>
      <c r="BZ11" s="9"/>
      <c r="CA11" s="9"/>
      <c r="CB11" s="8">
        <f t="shared" si="32"/>
        <v>0</v>
      </c>
      <c r="CC11" s="8">
        <f t="shared" si="33"/>
        <v>10</v>
      </c>
      <c r="CD11" s="8">
        <f t="shared" si="34"/>
        <v>10</v>
      </c>
      <c r="CE11" s="9"/>
      <c r="CF11" s="9"/>
      <c r="CG11" s="9"/>
      <c r="CH11" s="8">
        <f t="shared" si="35"/>
        <v>0</v>
      </c>
      <c r="CI11" s="8">
        <f t="shared" si="36"/>
        <v>10</v>
      </c>
      <c r="CJ11" s="8">
        <f t="shared" si="37"/>
        <v>10</v>
      </c>
      <c r="CK11" s="9"/>
      <c r="CL11" s="9"/>
      <c r="CM11" s="9"/>
      <c r="CN11" s="8">
        <f t="shared" si="38"/>
        <v>0</v>
      </c>
      <c r="CO11" s="8">
        <f t="shared" si="39"/>
        <v>10</v>
      </c>
      <c r="CP11" s="8">
        <f t="shared" si="40"/>
        <v>10</v>
      </c>
      <c r="CQ11" s="9"/>
      <c r="CR11" s="9"/>
      <c r="CS11" s="9"/>
      <c r="CT11" s="8">
        <f t="shared" si="41"/>
        <v>0</v>
      </c>
      <c r="CU11" s="8">
        <f t="shared" si="42"/>
        <v>10</v>
      </c>
      <c r="CV11" s="8">
        <f t="shared" si="43"/>
        <v>10</v>
      </c>
      <c r="CW11" s="9"/>
      <c r="CX11" s="9"/>
      <c r="CY11" s="9"/>
      <c r="CZ11" s="8">
        <f t="shared" si="44"/>
        <v>0</v>
      </c>
      <c r="DA11" s="8">
        <f t="shared" si="45"/>
        <v>10</v>
      </c>
      <c r="DB11" s="8">
        <f t="shared" si="46"/>
        <v>10</v>
      </c>
      <c r="DC11" s="9"/>
      <c r="DD11" s="9"/>
      <c r="DE11" s="9"/>
      <c r="DF11" s="8">
        <f t="shared" si="47"/>
        <v>0</v>
      </c>
      <c r="DG11" s="8">
        <f t="shared" si="48"/>
        <v>10</v>
      </c>
      <c r="DH11" s="8">
        <f t="shared" si="49"/>
        <v>10</v>
      </c>
      <c r="DI11" s="9"/>
      <c r="DJ11" s="9"/>
      <c r="DK11" s="9"/>
      <c r="DL11" s="8">
        <f t="shared" si="50"/>
        <v>0</v>
      </c>
      <c r="DM11" s="8">
        <f t="shared" si="51"/>
        <v>10</v>
      </c>
      <c r="DN11" s="8">
        <f t="shared" si="52"/>
        <v>10</v>
      </c>
      <c r="DO11" s="9"/>
      <c r="DP11" s="9"/>
      <c r="DQ11" s="9"/>
      <c r="DR11" s="8">
        <f t="shared" si="53"/>
        <v>0</v>
      </c>
      <c r="DS11" s="8">
        <f t="shared" si="54"/>
        <v>10</v>
      </c>
      <c r="DT11" s="8">
        <f t="shared" si="55"/>
        <v>10</v>
      </c>
      <c r="DU11" s="9"/>
      <c r="DV11" s="9"/>
      <c r="DW11" s="9"/>
      <c r="DX11" s="8">
        <f t="shared" si="56"/>
        <v>0</v>
      </c>
      <c r="DY11" s="8">
        <f t="shared" si="57"/>
        <v>10</v>
      </c>
      <c r="DZ11" s="8">
        <f t="shared" si="58"/>
        <v>10</v>
      </c>
      <c r="EA11" s="9"/>
      <c r="EB11" s="9"/>
      <c r="EC11" s="9"/>
      <c r="ED11" s="8">
        <f t="shared" si="59"/>
        <v>0</v>
      </c>
      <c r="EE11" s="8">
        <f t="shared" si="60"/>
        <v>10</v>
      </c>
      <c r="EF11" s="8">
        <f t="shared" si="61"/>
        <v>10</v>
      </c>
      <c r="EG11" s="9"/>
      <c r="EH11" s="9"/>
      <c r="EI11" s="9"/>
      <c r="EJ11" s="8">
        <f t="shared" si="62"/>
        <v>0</v>
      </c>
      <c r="EK11" s="8">
        <f t="shared" si="63"/>
        <v>10</v>
      </c>
      <c r="EL11" s="8">
        <f t="shared" si="64"/>
        <v>10</v>
      </c>
      <c r="EM11" s="9"/>
      <c r="EN11" s="9"/>
      <c r="EO11" s="9"/>
      <c r="EP11" s="8">
        <f t="shared" si="65"/>
        <v>0</v>
      </c>
      <c r="EQ11" s="8">
        <f t="shared" si="66"/>
        <v>10</v>
      </c>
      <c r="ER11" s="8">
        <f t="shared" si="67"/>
        <v>10</v>
      </c>
      <c r="ES11" s="9"/>
      <c r="ET11" s="9"/>
      <c r="EU11" s="9"/>
      <c r="EV11" s="8">
        <f t="shared" si="68"/>
        <v>0</v>
      </c>
      <c r="EW11" s="8">
        <f t="shared" si="69"/>
        <v>10</v>
      </c>
      <c r="EX11" s="8">
        <f t="shared" si="70"/>
        <v>10</v>
      </c>
      <c r="EY11" s="9"/>
      <c r="EZ11" s="9"/>
      <c r="FA11" s="9"/>
      <c r="FB11" s="8">
        <f t="shared" si="71"/>
        <v>0</v>
      </c>
      <c r="FC11" s="8">
        <f t="shared" si="72"/>
        <v>10</v>
      </c>
      <c r="FD11" s="8">
        <f t="shared" si="73"/>
        <v>10</v>
      </c>
      <c r="FE11" s="9"/>
      <c r="FF11" s="9"/>
      <c r="FG11" s="9"/>
      <c r="FH11" s="8">
        <f t="shared" si="74"/>
        <v>0</v>
      </c>
      <c r="FI11" s="8">
        <f t="shared" si="75"/>
        <v>10</v>
      </c>
      <c r="FJ11" s="8">
        <f t="shared" si="76"/>
        <v>10</v>
      </c>
      <c r="FK11" s="9"/>
      <c r="FL11" s="9"/>
      <c r="FM11" s="9"/>
      <c r="FN11" s="8">
        <f t="shared" si="77"/>
        <v>0</v>
      </c>
      <c r="FO11" s="8">
        <f t="shared" si="78"/>
        <v>10</v>
      </c>
      <c r="FP11" s="8">
        <f t="shared" si="79"/>
        <v>10</v>
      </c>
      <c r="FQ11" s="9"/>
      <c r="FR11" s="9"/>
      <c r="FS11" s="9"/>
      <c r="FT11" s="8">
        <f t="shared" si="80"/>
        <v>0</v>
      </c>
      <c r="FU11" s="8">
        <f t="shared" si="81"/>
        <v>10</v>
      </c>
      <c r="FV11" s="8">
        <f t="shared" si="82"/>
        <v>10</v>
      </c>
      <c r="FW11" s="9"/>
      <c r="FX11" s="9"/>
      <c r="FY11" s="9"/>
      <c r="FZ11" s="8">
        <f t="shared" si="83"/>
        <v>0</v>
      </c>
      <c r="GA11" s="8">
        <f t="shared" si="84"/>
        <v>10</v>
      </c>
      <c r="GB11" s="8">
        <f t="shared" si="85"/>
        <v>10</v>
      </c>
      <c r="GC11" s="9"/>
      <c r="GD11" s="9"/>
      <c r="GE11" s="9"/>
      <c r="GF11" s="8">
        <f t="shared" si="86"/>
        <v>0</v>
      </c>
      <c r="GG11" s="8">
        <f t="shared" si="87"/>
        <v>10</v>
      </c>
      <c r="GH11" s="8">
        <f t="shared" si="88"/>
        <v>10</v>
      </c>
      <c r="GI11" s="9"/>
      <c r="GJ11" s="9"/>
      <c r="GK11" s="9"/>
      <c r="GL11" s="8">
        <f t="shared" si="89"/>
        <v>0</v>
      </c>
      <c r="GM11" s="8">
        <f t="shared" si="90"/>
        <v>10</v>
      </c>
      <c r="GN11" s="10">
        <f t="shared" si="91"/>
        <v>0</v>
      </c>
      <c r="GO11" s="10">
        <f t="shared" si="92"/>
        <v>0</v>
      </c>
      <c r="GP11" s="10">
        <f t="shared" si="93"/>
        <v>0</v>
      </c>
      <c r="GQ11" s="11">
        <f t="shared" si="94"/>
        <v>0</v>
      </c>
      <c r="GR11" s="11">
        <f t="shared" si="95"/>
        <v>10</v>
      </c>
    </row>
    <row r="12" spans="1:200" ht="15.75" customHeight="1" x14ac:dyDescent="0.3">
      <c r="A12" s="6">
        <v>4</v>
      </c>
      <c r="B12" s="22" t="s">
        <v>268</v>
      </c>
      <c r="C12" s="20" t="s">
        <v>184</v>
      </c>
      <c r="D12" s="24" t="s">
        <v>362</v>
      </c>
      <c r="E12" s="16" t="s">
        <v>98</v>
      </c>
      <c r="F12" s="12" t="s">
        <v>375</v>
      </c>
      <c r="G12" s="12" t="s">
        <v>71</v>
      </c>
      <c r="H12" s="7" t="s">
        <v>70</v>
      </c>
      <c r="I12" s="8">
        <v>15.445</v>
      </c>
      <c r="J12" s="8">
        <v>15.445</v>
      </c>
      <c r="K12" s="9"/>
      <c r="L12" s="9"/>
      <c r="M12" s="9"/>
      <c r="N12" s="8">
        <f t="shared" si="0"/>
        <v>0</v>
      </c>
      <c r="O12" s="8">
        <f t="shared" si="96"/>
        <v>15.445</v>
      </c>
      <c r="P12" s="8">
        <f t="shared" si="1"/>
        <v>15.445</v>
      </c>
      <c r="Q12" s="9"/>
      <c r="R12" s="9"/>
      <c r="S12" s="9"/>
      <c r="T12" s="8">
        <f t="shared" si="2"/>
        <v>0</v>
      </c>
      <c r="U12" s="8">
        <f t="shared" si="3"/>
        <v>15.445</v>
      </c>
      <c r="V12" s="8">
        <f t="shared" si="4"/>
        <v>15.445</v>
      </c>
      <c r="W12" s="29"/>
      <c r="X12" s="29"/>
      <c r="Y12" s="29"/>
      <c r="Z12" s="8">
        <f t="shared" si="5"/>
        <v>0</v>
      </c>
      <c r="AA12" s="8">
        <f t="shared" si="6"/>
        <v>15.445</v>
      </c>
      <c r="AB12" s="8">
        <f t="shared" si="7"/>
        <v>15.445</v>
      </c>
      <c r="AC12" s="29"/>
      <c r="AD12" s="29"/>
      <c r="AE12" s="29"/>
      <c r="AF12" s="8">
        <f t="shared" si="8"/>
        <v>0</v>
      </c>
      <c r="AG12" s="8">
        <f t="shared" si="9"/>
        <v>15.445</v>
      </c>
      <c r="AH12" s="8">
        <f t="shared" si="10"/>
        <v>15.445</v>
      </c>
      <c r="AI12" s="29"/>
      <c r="AJ12" s="29"/>
      <c r="AK12" s="29"/>
      <c r="AL12" s="8">
        <f t="shared" si="11"/>
        <v>0</v>
      </c>
      <c r="AM12" s="8">
        <f t="shared" si="12"/>
        <v>15.445</v>
      </c>
      <c r="AN12" s="8">
        <f t="shared" si="13"/>
        <v>15.445</v>
      </c>
      <c r="AO12" s="9"/>
      <c r="AP12" s="9"/>
      <c r="AQ12" s="9"/>
      <c r="AR12" s="8">
        <f t="shared" si="14"/>
        <v>0</v>
      </c>
      <c r="AS12" s="8">
        <f t="shared" si="15"/>
        <v>15.445</v>
      </c>
      <c r="AT12" s="8">
        <f t="shared" si="16"/>
        <v>15.445</v>
      </c>
      <c r="AU12" s="9"/>
      <c r="AV12" s="9"/>
      <c r="AW12" s="9"/>
      <c r="AX12" s="8">
        <f t="shared" si="17"/>
        <v>0</v>
      </c>
      <c r="AY12" s="8">
        <f t="shared" si="18"/>
        <v>15.445</v>
      </c>
      <c r="AZ12" s="8">
        <f t="shared" si="19"/>
        <v>15.445</v>
      </c>
      <c r="BA12" s="9"/>
      <c r="BB12" s="9"/>
      <c r="BC12" s="9"/>
      <c r="BD12" s="8">
        <f t="shared" si="20"/>
        <v>0</v>
      </c>
      <c r="BE12" s="8">
        <f t="shared" si="21"/>
        <v>15.445</v>
      </c>
      <c r="BF12" s="8">
        <f t="shared" si="22"/>
        <v>15.445</v>
      </c>
      <c r="BG12" s="9"/>
      <c r="BH12" s="9"/>
      <c r="BI12" s="9"/>
      <c r="BJ12" s="8">
        <f t="shared" si="23"/>
        <v>0</v>
      </c>
      <c r="BK12" s="8">
        <f t="shared" si="24"/>
        <v>15.445</v>
      </c>
      <c r="BL12" s="8">
        <f t="shared" si="25"/>
        <v>15.445</v>
      </c>
      <c r="BM12" s="9"/>
      <c r="BN12" s="9"/>
      <c r="BO12" s="9"/>
      <c r="BP12" s="8">
        <f t="shared" si="26"/>
        <v>0</v>
      </c>
      <c r="BQ12" s="8">
        <f t="shared" si="27"/>
        <v>15.445</v>
      </c>
      <c r="BR12" s="8">
        <f t="shared" si="28"/>
        <v>15.445</v>
      </c>
      <c r="BS12" s="9"/>
      <c r="BT12" s="9"/>
      <c r="BU12" s="9"/>
      <c r="BV12" s="8">
        <f t="shared" si="29"/>
        <v>0</v>
      </c>
      <c r="BW12" s="8">
        <f t="shared" si="30"/>
        <v>15.445</v>
      </c>
      <c r="BX12" s="8">
        <f t="shared" si="31"/>
        <v>15.445</v>
      </c>
      <c r="BY12" s="9"/>
      <c r="BZ12" s="9"/>
      <c r="CA12" s="9"/>
      <c r="CB12" s="8">
        <f t="shared" si="32"/>
        <v>0</v>
      </c>
      <c r="CC12" s="8">
        <f t="shared" si="33"/>
        <v>15.445</v>
      </c>
      <c r="CD12" s="8">
        <f t="shared" si="34"/>
        <v>15.445</v>
      </c>
      <c r="CE12" s="9"/>
      <c r="CF12" s="9"/>
      <c r="CG12" s="9"/>
      <c r="CH12" s="8">
        <f t="shared" si="35"/>
        <v>0</v>
      </c>
      <c r="CI12" s="8">
        <f t="shared" si="36"/>
        <v>15.445</v>
      </c>
      <c r="CJ12" s="8">
        <f t="shared" si="37"/>
        <v>15.445</v>
      </c>
      <c r="CK12" s="9"/>
      <c r="CL12" s="9"/>
      <c r="CM12" s="9"/>
      <c r="CN12" s="8">
        <f t="shared" si="38"/>
        <v>0</v>
      </c>
      <c r="CO12" s="8">
        <f t="shared" si="39"/>
        <v>15.445</v>
      </c>
      <c r="CP12" s="8">
        <f t="shared" si="40"/>
        <v>15.445</v>
      </c>
      <c r="CQ12" s="9"/>
      <c r="CR12" s="9"/>
      <c r="CS12" s="9"/>
      <c r="CT12" s="8">
        <f t="shared" si="41"/>
        <v>0</v>
      </c>
      <c r="CU12" s="8">
        <f t="shared" si="42"/>
        <v>15.445</v>
      </c>
      <c r="CV12" s="8">
        <f t="shared" si="43"/>
        <v>15.445</v>
      </c>
      <c r="CW12" s="9"/>
      <c r="CX12" s="9"/>
      <c r="CY12" s="9"/>
      <c r="CZ12" s="8">
        <f t="shared" si="44"/>
        <v>0</v>
      </c>
      <c r="DA12" s="8">
        <f t="shared" si="45"/>
        <v>15.445</v>
      </c>
      <c r="DB12" s="8">
        <f t="shared" si="46"/>
        <v>15.445</v>
      </c>
      <c r="DC12" s="9"/>
      <c r="DD12" s="9"/>
      <c r="DE12" s="9"/>
      <c r="DF12" s="8">
        <f t="shared" si="47"/>
        <v>0</v>
      </c>
      <c r="DG12" s="8">
        <f t="shared" si="48"/>
        <v>15.445</v>
      </c>
      <c r="DH12" s="8">
        <f t="shared" si="49"/>
        <v>15.445</v>
      </c>
      <c r="DI12" s="9"/>
      <c r="DJ12" s="9"/>
      <c r="DK12" s="9"/>
      <c r="DL12" s="8">
        <f t="shared" si="50"/>
        <v>0</v>
      </c>
      <c r="DM12" s="8">
        <f t="shared" si="51"/>
        <v>15.445</v>
      </c>
      <c r="DN12" s="8">
        <f t="shared" si="52"/>
        <v>15.445</v>
      </c>
      <c r="DO12" s="9"/>
      <c r="DP12" s="9"/>
      <c r="DQ12" s="9"/>
      <c r="DR12" s="8">
        <f t="shared" si="53"/>
        <v>0</v>
      </c>
      <c r="DS12" s="8">
        <f t="shared" si="54"/>
        <v>15.445</v>
      </c>
      <c r="DT12" s="8">
        <f t="shared" si="55"/>
        <v>15.445</v>
      </c>
      <c r="DU12" s="9"/>
      <c r="DV12" s="9"/>
      <c r="DW12" s="9"/>
      <c r="DX12" s="8">
        <f t="shared" si="56"/>
        <v>0</v>
      </c>
      <c r="DY12" s="8">
        <f t="shared" si="57"/>
        <v>15.445</v>
      </c>
      <c r="DZ12" s="8">
        <f t="shared" si="58"/>
        <v>15.445</v>
      </c>
      <c r="EA12" s="9"/>
      <c r="EB12" s="9"/>
      <c r="EC12" s="9"/>
      <c r="ED12" s="8">
        <f t="shared" si="59"/>
        <v>0</v>
      </c>
      <c r="EE12" s="8">
        <f t="shared" si="60"/>
        <v>15.445</v>
      </c>
      <c r="EF12" s="8">
        <f t="shared" si="61"/>
        <v>15.445</v>
      </c>
      <c r="EG12" s="9"/>
      <c r="EH12" s="9"/>
      <c r="EI12" s="9"/>
      <c r="EJ12" s="8">
        <f t="shared" si="62"/>
        <v>0</v>
      </c>
      <c r="EK12" s="8">
        <f t="shared" si="63"/>
        <v>15.445</v>
      </c>
      <c r="EL12" s="8">
        <f t="shared" si="64"/>
        <v>15.445</v>
      </c>
      <c r="EM12" s="9"/>
      <c r="EN12" s="9"/>
      <c r="EO12" s="9"/>
      <c r="EP12" s="8">
        <f t="shared" si="65"/>
        <v>0</v>
      </c>
      <c r="EQ12" s="8">
        <f t="shared" si="66"/>
        <v>15.445</v>
      </c>
      <c r="ER12" s="8">
        <f t="shared" si="67"/>
        <v>15.445</v>
      </c>
      <c r="ES12" s="9"/>
      <c r="ET12" s="9"/>
      <c r="EU12" s="9"/>
      <c r="EV12" s="8">
        <f t="shared" si="68"/>
        <v>0</v>
      </c>
      <c r="EW12" s="8">
        <f t="shared" si="69"/>
        <v>15.445</v>
      </c>
      <c r="EX12" s="8">
        <f t="shared" si="70"/>
        <v>15.445</v>
      </c>
      <c r="EY12" s="9"/>
      <c r="EZ12" s="9"/>
      <c r="FA12" s="9"/>
      <c r="FB12" s="8">
        <f t="shared" si="71"/>
        <v>0</v>
      </c>
      <c r="FC12" s="8">
        <f t="shared" si="72"/>
        <v>15.445</v>
      </c>
      <c r="FD12" s="8">
        <f t="shared" si="73"/>
        <v>15.445</v>
      </c>
      <c r="FE12" s="9"/>
      <c r="FF12" s="9"/>
      <c r="FG12" s="9"/>
      <c r="FH12" s="8">
        <f t="shared" si="74"/>
        <v>0</v>
      </c>
      <c r="FI12" s="8">
        <f t="shared" si="75"/>
        <v>15.445</v>
      </c>
      <c r="FJ12" s="8">
        <f t="shared" si="76"/>
        <v>15.445</v>
      </c>
      <c r="FK12" s="9"/>
      <c r="FL12" s="9"/>
      <c r="FM12" s="9"/>
      <c r="FN12" s="8">
        <f t="shared" si="77"/>
        <v>0</v>
      </c>
      <c r="FO12" s="8">
        <f t="shared" si="78"/>
        <v>15.445</v>
      </c>
      <c r="FP12" s="8">
        <f t="shared" si="79"/>
        <v>15.445</v>
      </c>
      <c r="FQ12" s="9"/>
      <c r="FR12" s="9"/>
      <c r="FS12" s="9"/>
      <c r="FT12" s="8">
        <f t="shared" si="80"/>
        <v>0</v>
      </c>
      <c r="FU12" s="8">
        <f t="shared" si="81"/>
        <v>15.445</v>
      </c>
      <c r="FV12" s="8">
        <f t="shared" si="82"/>
        <v>15.445</v>
      </c>
      <c r="FW12" s="9"/>
      <c r="FX12" s="9"/>
      <c r="FY12" s="9"/>
      <c r="FZ12" s="8">
        <f t="shared" si="83"/>
        <v>0</v>
      </c>
      <c r="GA12" s="8">
        <f t="shared" si="84"/>
        <v>15.445</v>
      </c>
      <c r="GB12" s="8">
        <f t="shared" si="85"/>
        <v>15.445</v>
      </c>
      <c r="GC12" s="9"/>
      <c r="GD12" s="9"/>
      <c r="GE12" s="9"/>
      <c r="GF12" s="8">
        <f t="shared" si="86"/>
        <v>0</v>
      </c>
      <c r="GG12" s="8">
        <f t="shared" si="87"/>
        <v>15.445</v>
      </c>
      <c r="GH12" s="8">
        <f t="shared" si="88"/>
        <v>15.445</v>
      </c>
      <c r="GI12" s="9"/>
      <c r="GJ12" s="9"/>
      <c r="GK12" s="9"/>
      <c r="GL12" s="8">
        <f t="shared" si="89"/>
        <v>0</v>
      </c>
      <c r="GM12" s="8">
        <f t="shared" si="90"/>
        <v>15.445</v>
      </c>
      <c r="GN12" s="10">
        <f t="shared" si="91"/>
        <v>0</v>
      </c>
      <c r="GO12" s="10">
        <f t="shared" si="92"/>
        <v>0</v>
      </c>
      <c r="GP12" s="10">
        <f t="shared" si="93"/>
        <v>0</v>
      </c>
      <c r="GQ12" s="11">
        <f t="shared" si="94"/>
        <v>0</v>
      </c>
      <c r="GR12" s="11">
        <f t="shared" si="95"/>
        <v>15.445</v>
      </c>
    </row>
    <row r="13" spans="1:200" ht="15.75" customHeight="1" x14ac:dyDescent="0.3">
      <c r="A13" s="6">
        <v>5</v>
      </c>
      <c r="B13" s="22" t="s">
        <v>269</v>
      </c>
      <c r="C13" s="20" t="s">
        <v>185</v>
      </c>
      <c r="D13" s="24" t="s">
        <v>362</v>
      </c>
      <c r="E13" s="16" t="s">
        <v>99</v>
      </c>
      <c r="F13" s="12" t="s">
        <v>376</v>
      </c>
      <c r="G13" s="12" t="s">
        <v>72</v>
      </c>
      <c r="H13" s="7" t="s">
        <v>70</v>
      </c>
      <c r="I13" s="8">
        <v>12.574999999999999</v>
      </c>
      <c r="J13" s="8">
        <v>12.574999999999999</v>
      </c>
      <c r="K13" s="9"/>
      <c r="L13" s="9"/>
      <c r="M13" s="9"/>
      <c r="N13" s="8">
        <f t="shared" si="0"/>
        <v>0</v>
      </c>
      <c r="O13" s="8">
        <f t="shared" si="96"/>
        <v>12.574999999999999</v>
      </c>
      <c r="P13" s="8">
        <f t="shared" si="1"/>
        <v>12.574999999999999</v>
      </c>
      <c r="Q13" s="9"/>
      <c r="R13" s="9"/>
      <c r="S13" s="9"/>
      <c r="T13" s="8">
        <f t="shared" si="2"/>
        <v>0</v>
      </c>
      <c r="U13" s="8">
        <f t="shared" si="3"/>
        <v>12.574999999999999</v>
      </c>
      <c r="V13" s="8">
        <f t="shared" si="4"/>
        <v>12.574999999999999</v>
      </c>
      <c r="W13" s="29"/>
      <c r="X13" s="29"/>
      <c r="Y13" s="29"/>
      <c r="Z13" s="8">
        <f t="shared" si="5"/>
        <v>0</v>
      </c>
      <c r="AA13" s="8">
        <f t="shared" si="6"/>
        <v>12.574999999999999</v>
      </c>
      <c r="AB13" s="8">
        <f t="shared" si="7"/>
        <v>12.574999999999999</v>
      </c>
      <c r="AC13" s="29"/>
      <c r="AD13" s="29"/>
      <c r="AE13" s="29"/>
      <c r="AF13" s="8">
        <f t="shared" si="8"/>
        <v>0</v>
      </c>
      <c r="AG13" s="8">
        <f t="shared" si="9"/>
        <v>12.574999999999999</v>
      </c>
      <c r="AH13" s="8">
        <f t="shared" si="10"/>
        <v>12.574999999999999</v>
      </c>
      <c r="AI13" s="29"/>
      <c r="AJ13" s="29"/>
      <c r="AK13" s="29"/>
      <c r="AL13" s="8">
        <f t="shared" si="11"/>
        <v>0</v>
      </c>
      <c r="AM13" s="8">
        <f t="shared" si="12"/>
        <v>12.574999999999999</v>
      </c>
      <c r="AN13" s="8">
        <f t="shared" si="13"/>
        <v>12.574999999999999</v>
      </c>
      <c r="AO13" s="9"/>
      <c r="AP13" s="9"/>
      <c r="AQ13" s="9"/>
      <c r="AR13" s="8">
        <f t="shared" si="14"/>
        <v>0</v>
      </c>
      <c r="AS13" s="8">
        <f t="shared" si="15"/>
        <v>12.574999999999999</v>
      </c>
      <c r="AT13" s="8">
        <f t="shared" si="16"/>
        <v>12.574999999999999</v>
      </c>
      <c r="AU13" s="9"/>
      <c r="AV13" s="9"/>
      <c r="AW13" s="9"/>
      <c r="AX13" s="8">
        <f t="shared" si="17"/>
        <v>0</v>
      </c>
      <c r="AY13" s="8">
        <f t="shared" si="18"/>
        <v>12.574999999999999</v>
      </c>
      <c r="AZ13" s="8">
        <f t="shared" si="19"/>
        <v>12.574999999999999</v>
      </c>
      <c r="BA13" s="9"/>
      <c r="BB13" s="9"/>
      <c r="BC13" s="9"/>
      <c r="BD13" s="8">
        <f t="shared" si="20"/>
        <v>0</v>
      </c>
      <c r="BE13" s="8">
        <f t="shared" si="21"/>
        <v>12.574999999999999</v>
      </c>
      <c r="BF13" s="8">
        <f t="shared" si="22"/>
        <v>12.574999999999999</v>
      </c>
      <c r="BG13" s="9"/>
      <c r="BH13" s="9"/>
      <c r="BI13" s="9"/>
      <c r="BJ13" s="8">
        <f t="shared" si="23"/>
        <v>0</v>
      </c>
      <c r="BK13" s="8">
        <f t="shared" si="24"/>
        <v>12.574999999999999</v>
      </c>
      <c r="BL13" s="8">
        <f t="shared" si="25"/>
        <v>12.574999999999999</v>
      </c>
      <c r="BM13" s="9"/>
      <c r="BN13" s="9"/>
      <c r="BO13" s="9"/>
      <c r="BP13" s="8">
        <f t="shared" si="26"/>
        <v>0</v>
      </c>
      <c r="BQ13" s="8">
        <f t="shared" si="27"/>
        <v>12.574999999999999</v>
      </c>
      <c r="BR13" s="8">
        <f t="shared" si="28"/>
        <v>12.574999999999999</v>
      </c>
      <c r="BS13" s="9"/>
      <c r="BT13" s="9"/>
      <c r="BU13" s="9"/>
      <c r="BV13" s="8">
        <f t="shared" si="29"/>
        <v>0</v>
      </c>
      <c r="BW13" s="8">
        <f t="shared" si="30"/>
        <v>12.574999999999999</v>
      </c>
      <c r="BX13" s="8">
        <f t="shared" si="31"/>
        <v>12.574999999999999</v>
      </c>
      <c r="BY13" s="9"/>
      <c r="BZ13" s="9">
        <v>0.05</v>
      </c>
      <c r="CA13" s="9">
        <v>0</v>
      </c>
      <c r="CB13" s="8">
        <f t="shared" si="32"/>
        <v>0.05</v>
      </c>
      <c r="CC13" s="8">
        <f t="shared" si="33"/>
        <v>12.524999999999999</v>
      </c>
      <c r="CD13" s="8">
        <f t="shared" si="34"/>
        <v>12.524999999999999</v>
      </c>
      <c r="CE13" s="9"/>
      <c r="CF13" s="9"/>
      <c r="CG13" s="9"/>
      <c r="CH13" s="8">
        <f t="shared" si="35"/>
        <v>0</v>
      </c>
      <c r="CI13" s="8">
        <f t="shared" si="36"/>
        <v>12.524999999999999</v>
      </c>
      <c r="CJ13" s="8">
        <f t="shared" si="37"/>
        <v>12.524999999999999</v>
      </c>
      <c r="CK13" s="9"/>
      <c r="CL13" s="9"/>
      <c r="CM13" s="9"/>
      <c r="CN13" s="8">
        <f t="shared" si="38"/>
        <v>0</v>
      </c>
      <c r="CO13" s="8">
        <f t="shared" si="39"/>
        <v>12.524999999999999</v>
      </c>
      <c r="CP13" s="8">
        <f t="shared" si="40"/>
        <v>12.524999999999999</v>
      </c>
      <c r="CQ13" s="9"/>
      <c r="CR13" s="9"/>
      <c r="CS13" s="9"/>
      <c r="CT13" s="8">
        <f t="shared" si="41"/>
        <v>0</v>
      </c>
      <c r="CU13" s="8">
        <f t="shared" si="42"/>
        <v>12.524999999999999</v>
      </c>
      <c r="CV13" s="8">
        <f t="shared" si="43"/>
        <v>12.524999999999999</v>
      </c>
      <c r="CW13" s="9"/>
      <c r="CX13" s="9"/>
      <c r="CY13" s="9"/>
      <c r="CZ13" s="8">
        <f t="shared" si="44"/>
        <v>0</v>
      </c>
      <c r="DA13" s="8">
        <f t="shared" si="45"/>
        <v>12.524999999999999</v>
      </c>
      <c r="DB13" s="8">
        <f t="shared" si="46"/>
        <v>12.524999999999999</v>
      </c>
      <c r="DC13" s="9"/>
      <c r="DD13" s="9"/>
      <c r="DE13" s="9"/>
      <c r="DF13" s="8">
        <f t="shared" si="47"/>
        <v>0</v>
      </c>
      <c r="DG13" s="8">
        <f t="shared" si="48"/>
        <v>12.524999999999999</v>
      </c>
      <c r="DH13" s="8">
        <f t="shared" si="49"/>
        <v>12.524999999999999</v>
      </c>
      <c r="DI13" s="9"/>
      <c r="DJ13" s="9"/>
      <c r="DK13" s="9"/>
      <c r="DL13" s="8">
        <f t="shared" si="50"/>
        <v>0</v>
      </c>
      <c r="DM13" s="8">
        <f t="shared" si="51"/>
        <v>12.524999999999999</v>
      </c>
      <c r="DN13" s="8">
        <f t="shared" si="52"/>
        <v>12.524999999999999</v>
      </c>
      <c r="DO13" s="9"/>
      <c r="DP13" s="9"/>
      <c r="DQ13" s="9"/>
      <c r="DR13" s="8">
        <f t="shared" si="53"/>
        <v>0</v>
      </c>
      <c r="DS13" s="8">
        <f t="shared" si="54"/>
        <v>12.524999999999999</v>
      </c>
      <c r="DT13" s="8">
        <f t="shared" si="55"/>
        <v>12.524999999999999</v>
      </c>
      <c r="DU13" s="9"/>
      <c r="DV13" s="9"/>
      <c r="DW13" s="9"/>
      <c r="DX13" s="8">
        <f t="shared" si="56"/>
        <v>0</v>
      </c>
      <c r="DY13" s="8">
        <f t="shared" si="57"/>
        <v>12.524999999999999</v>
      </c>
      <c r="DZ13" s="8">
        <f t="shared" si="58"/>
        <v>12.524999999999999</v>
      </c>
      <c r="EA13" s="9"/>
      <c r="EB13" s="9"/>
      <c r="EC13" s="9"/>
      <c r="ED13" s="8">
        <f t="shared" si="59"/>
        <v>0</v>
      </c>
      <c r="EE13" s="8">
        <f t="shared" si="60"/>
        <v>12.524999999999999</v>
      </c>
      <c r="EF13" s="8">
        <f t="shared" si="61"/>
        <v>12.524999999999999</v>
      </c>
      <c r="EG13" s="9"/>
      <c r="EH13" s="9"/>
      <c r="EI13" s="9"/>
      <c r="EJ13" s="8">
        <f t="shared" si="62"/>
        <v>0</v>
      </c>
      <c r="EK13" s="8">
        <f t="shared" si="63"/>
        <v>12.524999999999999</v>
      </c>
      <c r="EL13" s="8">
        <f t="shared" si="64"/>
        <v>12.524999999999999</v>
      </c>
      <c r="EM13" s="9"/>
      <c r="EN13" s="9"/>
      <c r="EO13" s="9"/>
      <c r="EP13" s="8">
        <f t="shared" si="65"/>
        <v>0</v>
      </c>
      <c r="EQ13" s="8">
        <f t="shared" si="66"/>
        <v>12.524999999999999</v>
      </c>
      <c r="ER13" s="8">
        <f t="shared" si="67"/>
        <v>12.524999999999999</v>
      </c>
      <c r="ES13" s="9"/>
      <c r="ET13" s="9"/>
      <c r="EU13" s="9"/>
      <c r="EV13" s="8">
        <f t="shared" si="68"/>
        <v>0</v>
      </c>
      <c r="EW13" s="8">
        <f t="shared" si="69"/>
        <v>12.524999999999999</v>
      </c>
      <c r="EX13" s="8">
        <f t="shared" si="70"/>
        <v>12.524999999999999</v>
      </c>
      <c r="EY13" s="9"/>
      <c r="EZ13" s="9"/>
      <c r="FA13" s="9"/>
      <c r="FB13" s="8">
        <f t="shared" si="71"/>
        <v>0</v>
      </c>
      <c r="FC13" s="8">
        <f t="shared" si="72"/>
        <v>12.524999999999999</v>
      </c>
      <c r="FD13" s="8">
        <f t="shared" si="73"/>
        <v>12.524999999999999</v>
      </c>
      <c r="FE13" s="9"/>
      <c r="FF13" s="9"/>
      <c r="FG13" s="9"/>
      <c r="FH13" s="8">
        <f t="shared" si="74"/>
        <v>0</v>
      </c>
      <c r="FI13" s="8">
        <f t="shared" si="75"/>
        <v>12.524999999999999</v>
      </c>
      <c r="FJ13" s="8">
        <f t="shared" si="76"/>
        <v>12.524999999999999</v>
      </c>
      <c r="FK13" s="9"/>
      <c r="FL13" s="9"/>
      <c r="FM13" s="9"/>
      <c r="FN13" s="8">
        <f t="shared" si="77"/>
        <v>0</v>
      </c>
      <c r="FO13" s="8">
        <f t="shared" si="78"/>
        <v>12.524999999999999</v>
      </c>
      <c r="FP13" s="8">
        <f t="shared" si="79"/>
        <v>12.524999999999999</v>
      </c>
      <c r="FQ13" s="9"/>
      <c r="FR13" s="9"/>
      <c r="FS13" s="9"/>
      <c r="FT13" s="8">
        <f t="shared" si="80"/>
        <v>0</v>
      </c>
      <c r="FU13" s="8">
        <f t="shared" si="81"/>
        <v>12.524999999999999</v>
      </c>
      <c r="FV13" s="8">
        <f t="shared" si="82"/>
        <v>12.524999999999999</v>
      </c>
      <c r="FW13" s="9"/>
      <c r="FX13" s="9"/>
      <c r="FY13" s="9"/>
      <c r="FZ13" s="8">
        <f t="shared" si="83"/>
        <v>0</v>
      </c>
      <c r="GA13" s="8">
        <f t="shared" si="84"/>
        <v>12.524999999999999</v>
      </c>
      <c r="GB13" s="8">
        <f t="shared" si="85"/>
        <v>12.524999999999999</v>
      </c>
      <c r="GC13" s="9"/>
      <c r="GD13" s="9"/>
      <c r="GE13" s="9"/>
      <c r="GF13" s="8">
        <f t="shared" si="86"/>
        <v>0</v>
      </c>
      <c r="GG13" s="8">
        <f t="shared" si="87"/>
        <v>12.524999999999999</v>
      </c>
      <c r="GH13" s="8">
        <f t="shared" si="88"/>
        <v>12.524999999999999</v>
      </c>
      <c r="GI13" s="9"/>
      <c r="GJ13" s="9"/>
      <c r="GK13" s="9"/>
      <c r="GL13" s="8">
        <f t="shared" si="89"/>
        <v>0</v>
      </c>
      <c r="GM13" s="8">
        <f t="shared" si="90"/>
        <v>12.524999999999999</v>
      </c>
      <c r="GN13" s="10">
        <f t="shared" si="91"/>
        <v>0</v>
      </c>
      <c r="GO13" s="10">
        <f t="shared" si="92"/>
        <v>0.05</v>
      </c>
      <c r="GP13" s="10">
        <f t="shared" si="93"/>
        <v>0</v>
      </c>
      <c r="GQ13" s="11">
        <f t="shared" si="94"/>
        <v>0.05</v>
      </c>
      <c r="GR13" s="11">
        <f t="shared" si="95"/>
        <v>12.524999999999999</v>
      </c>
    </row>
    <row r="14" spans="1:200" ht="15.75" customHeight="1" x14ac:dyDescent="0.3">
      <c r="A14" s="6">
        <v>6</v>
      </c>
      <c r="B14" s="22" t="s">
        <v>270</v>
      </c>
      <c r="C14" s="20" t="s">
        <v>186</v>
      </c>
      <c r="D14" s="24" t="s">
        <v>362</v>
      </c>
      <c r="E14" s="16" t="s">
        <v>100</v>
      </c>
      <c r="F14" s="12" t="s">
        <v>375</v>
      </c>
      <c r="G14" s="12" t="s">
        <v>71</v>
      </c>
      <c r="H14" s="7" t="s">
        <v>70</v>
      </c>
      <c r="I14" s="8">
        <v>-1.0000000000001119E-3</v>
      </c>
      <c r="J14" s="8">
        <v>-1.0000000000001119E-3</v>
      </c>
      <c r="K14" s="9"/>
      <c r="L14" s="9"/>
      <c r="M14" s="9"/>
      <c r="N14" s="8">
        <f t="shared" si="0"/>
        <v>0</v>
      </c>
      <c r="O14" s="8">
        <f t="shared" si="96"/>
        <v>-1.0000000000001119E-3</v>
      </c>
      <c r="P14" s="8">
        <f t="shared" si="1"/>
        <v>-1.0000000000001119E-3</v>
      </c>
      <c r="Q14" s="9"/>
      <c r="R14" s="9"/>
      <c r="S14" s="9"/>
      <c r="T14" s="8">
        <f t="shared" si="2"/>
        <v>0</v>
      </c>
      <c r="U14" s="8">
        <f t="shared" si="3"/>
        <v>-1.0000000000001119E-3</v>
      </c>
      <c r="V14" s="8">
        <f t="shared" si="4"/>
        <v>-1.0000000000001119E-3</v>
      </c>
      <c r="W14" s="29"/>
      <c r="X14" s="29"/>
      <c r="Y14" s="29"/>
      <c r="Z14" s="8">
        <f t="shared" si="5"/>
        <v>0</v>
      </c>
      <c r="AA14" s="8">
        <f t="shared" si="6"/>
        <v>-1.0000000000001119E-3</v>
      </c>
      <c r="AB14" s="8">
        <f t="shared" si="7"/>
        <v>-1.0000000000001119E-3</v>
      </c>
      <c r="AC14" s="29"/>
      <c r="AD14" s="29"/>
      <c r="AE14" s="29"/>
      <c r="AF14" s="8">
        <f t="shared" si="8"/>
        <v>0</v>
      </c>
      <c r="AG14" s="8">
        <f t="shared" si="9"/>
        <v>-1.0000000000001119E-3</v>
      </c>
      <c r="AH14" s="8">
        <f t="shared" si="10"/>
        <v>-1.0000000000001119E-3</v>
      </c>
      <c r="AI14" s="29"/>
      <c r="AJ14" s="29"/>
      <c r="AK14" s="29"/>
      <c r="AL14" s="8">
        <f t="shared" si="11"/>
        <v>0</v>
      </c>
      <c r="AM14" s="8">
        <f t="shared" si="12"/>
        <v>-1.0000000000001119E-3</v>
      </c>
      <c r="AN14" s="8">
        <f t="shared" si="13"/>
        <v>-1.0000000000001119E-3</v>
      </c>
      <c r="AO14" s="9"/>
      <c r="AP14" s="9"/>
      <c r="AQ14" s="9"/>
      <c r="AR14" s="8">
        <f t="shared" si="14"/>
        <v>0</v>
      </c>
      <c r="AS14" s="8">
        <f t="shared" si="15"/>
        <v>-1.0000000000001119E-3</v>
      </c>
      <c r="AT14" s="8">
        <f t="shared" si="16"/>
        <v>-1.0000000000001119E-3</v>
      </c>
      <c r="AU14" s="9"/>
      <c r="AV14" s="9"/>
      <c r="AW14" s="9"/>
      <c r="AX14" s="8">
        <f t="shared" si="17"/>
        <v>0</v>
      </c>
      <c r="AY14" s="8">
        <f t="shared" si="18"/>
        <v>-1.0000000000001119E-3</v>
      </c>
      <c r="AZ14" s="8">
        <f t="shared" si="19"/>
        <v>-1.0000000000001119E-3</v>
      </c>
      <c r="BA14" s="9"/>
      <c r="BB14" s="9"/>
      <c r="BC14" s="9"/>
      <c r="BD14" s="8">
        <f t="shared" si="20"/>
        <v>0</v>
      </c>
      <c r="BE14" s="8">
        <f t="shared" si="21"/>
        <v>-1.0000000000001119E-3</v>
      </c>
      <c r="BF14" s="8">
        <f t="shared" si="22"/>
        <v>-1.0000000000001119E-3</v>
      </c>
      <c r="BG14" s="9"/>
      <c r="BH14" s="9"/>
      <c r="BI14" s="9"/>
      <c r="BJ14" s="8">
        <f t="shared" si="23"/>
        <v>0</v>
      </c>
      <c r="BK14" s="8">
        <f t="shared" si="24"/>
        <v>-1.0000000000001119E-3</v>
      </c>
      <c r="BL14" s="8">
        <f t="shared" si="25"/>
        <v>-1.0000000000001119E-3</v>
      </c>
      <c r="BM14" s="9"/>
      <c r="BN14" s="9"/>
      <c r="BO14" s="9"/>
      <c r="BP14" s="8">
        <f t="shared" si="26"/>
        <v>0</v>
      </c>
      <c r="BQ14" s="8">
        <f t="shared" si="27"/>
        <v>-1.0000000000001119E-3</v>
      </c>
      <c r="BR14" s="8">
        <f t="shared" si="28"/>
        <v>-1.0000000000001119E-3</v>
      </c>
      <c r="BS14" s="9"/>
      <c r="BT14" s="9"/>
      <c r="BU14" s="9"/>
      <c r="BV14" s="8">
        <f t="shared" si="29"/>
        <v>0</v>
      </c>
      <c r="BW14" s="8">
        <f t="shared" si="30"/>
        <v>-1.0000000000001119E-3</v>
      </c>
      <c r="BX14" s="8">
        <f t="shared" si="31"/>
        <v>-1.0000000000001119E-3</v>
      </c>
      <c r="BY14" s="9"/>
      <c r="BZ14" s="9"/>
      <c r="CA14" s="9"/>
      <c r="CB14" s="8">
        <f t="shared" si="32"/>
        <v>0</v>
      </c>
      <c r="CC14" s="8">
        <f t="shared" si="33"/>
        <v>-1.0000000000001119E-3</v>
      </c>
      <c r="CD14" s="8">
        <f t="shared" si="34"/>
        <v>-1.0000000000001119E-3</v>
      </c>
      <c r="CE14" s="9"/>
      <c r="CF14" s="9"/>
      <c r="CG14" s="9"/>
      <c r="CH14" s="8">
        <f t="shared" si="35"/>
        <v>0</v>
      </c>
      <c r="CI14" s="8">
        <f t="shared" si="36"/>
        <v>-1.0000000000001119E-3</v>
      </c>
      <c r="CJ14" s="8">
        <f t="shared" si="37"/>
        <v>-1.0000000000001119E-3</v>
      </c>
      <c r="CK14" s="9"/>
      <c r="CL14" s="9"/>
      <c r="CM14" s="9"/>
      <c r="CN14" s="8">
        <f t="shared" si="38"/>
        <v>0</v>
      </c>
      <c r="CO14" s="8">
        <f t="shared" si="39"/>
        <v>-1.0000000000001119E-3</v>
      </c>
      <c r="CP14" s="8">
        <f t="shared" si="40"/>
        <v>-1.0000000000001119E-3</v>
      </c>
      <c r="CQ14" s="9"/>
      <c r="CR14" s="9"/>
      <c r="CS14" s="9"/>
      <c r="CT14" s="8">
        <f t="shared" si="41"/>
        <v>0</v>
      </c>
      <c r="CU14" s="8">
        <f t="shared" si="42"/>
        <v>-1.0000000000001119E-3</v>
      </c>
      <c r="CV14" s="8">
        <f t="shared" si="43"/>
        <v>-1.0000000000001119E-3</v>
      </c>
      <c r="CW14" s="9"/>
      <c r="CX14" s="9"/>
      <c r="CY14" s="9"/>
      <c r="CZ14" s="8">
        <f t="shared" si="44"/>
        <v>0</v>
      </c>
      <c r="DA14" s="8">
        <f t="shared" si="45"/>
        <v>-1.0000000000001119E-3</v>
      </c>
      <c r="DB14" s="8">
        <f t="shared" si="46"/>
        <v>-1.0000000000001119E-3</v>
      </c>
      <c r="DC14" s="9"/>
      <c r="DD14" s="9"/>
      <c r="DE14" s="9"/>
      <c r="DF14" s="8">
        <f t="shared" si="47"/>
        <v>0</v>
      </c>
      <c r="DG14" s="8">
        <f t="shared" si="48"/>
        <v>-1.0000000000001119E-3</v>
      </c>
      <c r="DH14" s="8">
        <f t="shared" si="49"/>
        <v>-1.0000000000001119E-3</v>
      </c>
      <c r="DI14" s="9"/>
      <c r="DJ14" s="9"/>
      <c r="DK14" s="9"/>
      <c r="DL14" s="8">
        <f t="shared" si="50"/>
        <v>0</v>
      </c>
      <c r="DM14" s="8">
        <f t="shared" si="51"/>
        <v>-1.0000000000001119E-3</v>
      </c>
      <c r="DN14" s="8">
        <f t="shared" si="52"/>
        <v>-1.0000000000001119E-3</v>
      </c>
      <c r="DO14" s="9"/>
      <c r="DP14" s="9"/>
      <c r="DQ14" s="9"/>
      <c r="DR14" s="8">
        <f t="shared" si="53"/>
        <v>0</v>
      </c>
      <c r="DS14" s="8">
        <f t="shared" si="54"/>
        <v>-1.0000000000001119E-3</v>
      </c>
      <c r="DT14" s="8">
        <f t="shared" si="55"/>
        <v>-1.0000000000001119E-3</v>
      </c>
      <c r="DU14" s="9"/>
      <c r="DV14" s="9"/>
      <c r="DW14" s="9"/>
      <c r="DX14" s="8">
        <f t="shared" si="56"/>
        <v>0</v>
      </c>
      <c r="DY14" s="8">
        <f t="shared" si="57"/>
        <v>-1.0000000000001119E-3</v>
      </c>
      <c r="DZ14" s="8">
        <f t="shared" si="58"/>
        <v>-1.0000000000001119E-3</v>
      </c>
      <c r="EA14" s="9"/>
      <c r="EB14" s="9"/>
      <c r="EC14" s="9"/>
      <c r="ED14" s="8">
        <f t="shared" si="59"/>
        <v>0</v>
      </c>
      <c r="EE14" s="8">
        <f t="shared" si="60"/>
        <v>-1.0000000000001119E-3</v>
      </c>
      <c r="EF14" s="8">
        <f t="shared" si="61"/>
        <v>-1.0000000000001119E-3</v>
      </c>
      <c r="EG14" s="9"/>
      <c r="EH14" s="9"/>
      <c r="EI14" s="9"/>
      <c r="EJ14" s="8">
        <f t="shared" si="62"/>
        <v>0</v>
      </c>
      <c r="EK14" s="8">
        <f t="shared" si="63"/>
        <v>-1.0000000000001119E-3</v>
      </c>
      <c r="EL14" s="8">
        <f t="shared" si="64"/>
        <v>-1.0000000000001119E-3</v>
      </c>
      <c r="EM14" s="9"/>
      <c r="EN14" s="9"/>
      <c r="EO14" s="9"/>
      <c r="EP14" s="8">
        <f t="shared" si="65"/>
        <v>0</v>
      </c>
      <c r="EQ14" s="8">
        <f t="shared" si="66"/>
        <v>-1.0000000000001119E-3</v>
      </c>
      <c r="ER14" s="8">
        <f t="shared" si="67"/>
        <v>-1.0000000000001119E-3</v>
      </c>
      <c r="ES14" s="9"/>
      <c r="ET14" s="9"/>
      <c r="EU14" s="9"/>
      <c r="EV14" s="8">
        <f t="shared" si="68"/>
        <v>0</v>
      </c>
      <c r="EW14" s="8">
        <f t="shared" si="69"/>
        <v>-1.0000000000001119E-3</v>
      </c>
      <c r="EX14" s="8">
        <f t="shared" si="70"/>
        <v>-1.0000000000001119E-3</v>
      </c>
      <c r="EY14" s="9"/>
      <c r="EZ14" s="9"/>
      <c r="FA14" s="9"/>
      <c r="FB14" s="8">
        <f t="shared" si="71"/>
        <v>0</v>
      </c>
      <c r="FC14" s="8">
        <f t="shared" si="72"/>
        <v>-1.0000000000001119E-3</v>
      </c>
      <c r="FD14" s="8">
        <f t="shared" si="73"/>
        <v>-1.0000000000001119E-3</v>
      </c>
      <c r="FE14" s="9"/>
      <c r="FF14" s="9"/>
      <c r="FG14" s="9"/>
      <c r="FH14" s="8">
        <f t="shared" si="74"/>
        <v>0</v>
      </c>
      <c r="FI14" s="8">
        <f t="shared" si="75"/>
        <v>-1.0000000000001119E-3</v>
      </c>
      <c r="FJ14" s="8">
        <f t="shared" si="76"/>
        <v>-1.0000000000001119E-3</v>
      </c>
      <c r="FK14" s="9"/>
      <c r="FL14" s="9"/>
      <c r="FM14" s="9"/>
      <c r="FN14" s="8">
        <f t="shared" si="77"/>
        <v>0</v>
      </c>
      <c r="FO14" s="8">
        <f t="shared" si="78"/>
        <v>-1.0000000000001119E-3</v>
      </c>
      <c r="FP14" s="8">
        <f t="shared" si="79"/>
        <v>-1.0000000000001119E-3</v>
      </c>
      <c r="FQ14" s="9"/>
      <c r="FR14" s="9"/>
      <c r="FS14" s="9"/>
      <c r="FT14" s="8">
        <f t="shared" si="80"/>
        <v>0</v>
      </c>
      <c r="FU14" s="8">
        <f t="shared" si="81"/>
        <v>-1.0000000000001119E-3</v>
      </c>
      <c r="FV14" s="8">
        <f t="shared" si="82"/>
        <v>-1.0000000000001119E-3</v>
      </c>
      <c r="FW14" s="9"/>
      <c r="FX14" s="9"/>
      <c r="FY14" s="9"/>
      <c r="FZ14" s="8">
        <f t="shared" si="83"/>
        <v>0</v>
      </c>
      <c r="GA14" s="8">
        <f t="shared" si="84"/>
        <v>-1.0000000000001119E-3</v>
      </c>
      <c r="GB14" s="8">
        <f t="shared" si="85"/>
        <v>-1.0000000000001119E-3</v>
      </c>
      <c r="GC14" s="9"/>
      <c r="GD14" s="9"/>
      <c r="GE14" s="9"/>
      <c r="GF14" s="8">
        <f t="shared" si="86"/>
        <v>0</v>
      </c>
      <c r="GG14" s="8">
        <f t="shared" si="87"/>
        <v>-1.0000000000001119E-3</v>
      </c>
      <c r="GH14" s="8">
        <f t="shared" si="88"/>
        <v>-1.0000000000001119E-3</v>
      </c>
      <c r="GI14" s="9"/>
      <c r="GJ14" s="9"/>
      <c r="GK14" s="9"/>
      <c r="GL14" s="8">
        <f t="shared" si="89"/>
        <v>0</v>
      </c>
      <c r="GM14" s="8">
        <f t="shared" si="90"/>
        <v>-1.0000000000001119E-3</v>
      </c>
      <c r="GN14" s="10">
        <f t="shared" si="91"/>
        <v>0</v>
      </c>
      <c r="GO14" s="10">
        <f t="shared" si="92"/>
        <v>0</v>
      </c>
      <c r="GP14" s="10">
        <f t="shared" si="93"/>
        <v>0</v>
      </c>
      <c r="GQ14" s="11">
        <f t="shared" si="94"/>
        <v>0</v>
      </c>
      <c r="GR14" s="11">
        <f t="shared" si="95"/>
        <v>-1.0000000000001119E-3</v>
      </c>
    </row>
    <row r="15" spans="1:200" ht="15.75" customHeight="1" x14ac:dyDescent="0.3">
      <c r="A15" s="6">
        <v>7</v>
      </c>
      <c r="B15" s="22" t="s">
        <v>271</v>
      </c>
      <c r="C15" s="20" t="s">
        <v>186</v>
      </c>
      <c r="D15" s="24" t="s">
        <v>362</v>
      </c>
      <c r="E15" s="16" t="s">
        <v>101</v>
      </c>
      <c r="F15" s="12" t="s">
        <v>375</v>
      </c>
      <c r="G15" s="12" t="s">
        <v>71</v>
      </c>
      <c r="H15" s="7" t="s">
        <v>70</v>
      </c>
      <c r="I15" s="8">
        <v>8.1059999999999999</v>
      </c>
      <c r="J15" s="8">
        <v>8.1059999999999999</v>
      </c>
      <c r="K15" s="9"/>
      <c r="L15" s="9"/>
      <c r="M15" s="9"/>
      <c r="N15" s="8">
        <f t="shared" si="0"/>
        <v>0</v>
      </c>
      <c r="O15" s="8">
        <f t="shared" si="96"/>
        <v>8.1059999999999999</v>
      </c>
      <c r="P15" s="8">
        <f t="shared" si="1"/>
        <v>8.1059999999999999</v>
      </c>
      <c r="Q15" s="9"/>
      <c r="R15" s="9"/>
      <c r="S15" s="9"/>
      <c r="T15" s="8">
        <f t="shared" si="2"/>
        <v>0</v>
      </c>
      <c r="U15" s="8">
        <f t="shared" si="3"/>
        <v>8.1059999999999999</v>
      </c>
      <c r="V15" s="8">
        <f t="shared" si="4"/>
        <v>8.1059999999999999</v>
      </c>
      <c r="W15" s="29"/>
      <c r="X15" s="29"/>
      <c r="Y15" s="29"/>
      <c r="Z15" s="8">
        <f t="shared" si="5"/>
        <v>0</v>
      </c>
      <c r="AA15" s="8">
        <f t="shared" si="6"/>
        <v>8.1059999999999999</v>
      </c>
      <c r="AB15" s="8">
        <f t="shared" si="7"/>
        <v>8.1059999999999999</v>
      </c>
      <c r="AC15" s="29"/>
      <c r="AD15" s="29">
        <v>0.02</v>
      </c>
      <c r="AE15" s="29">
        <v>0</v>
      </c>
      <c r="AF15" s="8">
        <f t="shared" si="8"/>
        <v>0.02</v>
      </c>
      <c r="AG15" s="8">
        <f t="shared" si="9"/>
        <v>8.0860000000000003</v>
      </c>
      <c r="AH15" s="8">
        <f t="shared" si="10"/>
        <v>8.0860000000000003</v>
      </c>
      <c r="AI15" s="29"/>
      <c r="AJ15" s="29">
        <v>0.75</v>
      </c>
      <c r="AK15" s="29">
        <v>0</v>
      </c>
      <c r="AL15" s="8">
        <f t="shared" si="11"/>
        <v>0.75</v>
      </c>
      <c r="AM15" s="8">
        <f t="shared" si="12"/>
        <v>7.3360000000000003</v>
      </c>
      <c r="AN15" s="8">
        <f t="shared" si="13"/>
        <v>7.3360000000000003</v>
      </c>
      <c r="AO15" s="9"/>
      <c r="AP15" s="9">
        <v>1.4999999999999999E-2</v>
      </c>
      <c r="AQ15" s="9">
        <v>0</v>
      </c>
      <c r="AR15" s="8">
        <f t="shared" si="14"/>
        <v>1.4999999999999999E-2</v>
      </c>
      <c r="AS15" s="8">
        <f t="shared" si="15"/>
        <v>7.3210000000000006</v>
      </c>
      <c r="AT15" s="8">
        <f t="shared" si="16"/>
        <v>7.3210000000000006</v>
      </c>
      <c r="AU15" s="9"/>
      <c r="AV15" s="9">
        <v>0.25</v>
      </c>
      <c r="AW15" s="9">
        <v>0</v>
      </c>
      <c r="AX15" s="8">
        <f t="shared" si="17"/>
        <v>0.25</v>
      </c>
      <c r="AY15" s="8">
        <f t="shared" si="18"/>
        <v>7.0710000000000006</v>
      </c>
      <c r="AZ15" s="8">
        <f t="shared" si="19"/>
        <v>7.0710000000000006</v>
      </c>
      <c r="BA15" s="9"/>
      <c r="BB15" s="9"/>
      <c r="BC15" s="9"/>
      <c r="BD15" s="8">
        <f t="shared" si="20"/>
        <v>0</v>
      </c>
      <c r="BE15" s="8">
        <f t="shared" si="21"/>
        <v>7.0710000000000006</v>
      </c>
      <c r="BF15" s="8">
        <f t="shared" si="22"/>
        <v>7.0710000000000006</v>
      </c>
      <c r="BG15" s="9"/>
      <c r="BH15" s="9"/>
      <c r="BI15" s="9"/>
      <c r="BJ15" s="8">
        <f t="shared" si="23"/>
        <v>0</v>
      </c>
      <c r="BK15" s="8">
        <f t="shared" si="24"/>
        <v>7.0710000000000006</v>
      </c>
      <c r="BL15" s="8">
        <f t="shared" si="25"/>
        <v>7.0710000000000006</v>
      </c>
      <c r="BM15" s="9"/>
      <c r="BN15" s="9">
        <v>0.2</v>
      </c>
      <c r="BO15" s="9">
        <v>0</v>
      </c>
      <c r="BP15" s="8">
        <f t="shared" si="26"/>
        <v>0.2</v>
      </c>
      <c r="BQ15" s="8">
        <f t="shared" si="27"/>
        <v>6.8710000000000004</v>
      </c>
      <c r="BR15" s="8">
        <f t="shared" si="28"/>
        <v>6.8710000000000004</v>
      </c>
      <c r="BS15" s="9"/>
      <c r="BT15" s="9">
        <v>6.0000000000000001E-3</v>
      </c>
      <c r="BU15" s="9">
        <v>0</v>
      </c>
      <c r="BV15" s="8">
        <f t="shared" si="29"/>
        <v>6.0000000000000001E-3</v>
      </c>
      <c r="BW15" s="8">
        <f t="shared" si="30"/>
        <v>6.8650000000000002</v>
      </c>
      <c r="BX15" s="8">
        <f t="shared" si="31"/>
        <v>6.8650000000000002</v>
      </c>
      <c r="BY15" s="9"/>
      <c r="BZ15" s="9"/>
      <c r="CA15" s="9"/>
      <c r="CB15" s="8">
        <f t="shared" si="32"/>
        <v>0</v>
      </c>
      <c r="CC15" s="8">
        <f t="shared" si="33"/>
        <v>6.8650000000000002</v>
      </c>
      <c r="CD15" s="8">
        <f t="shared" si="34"/>
        <v>6.8650000000000002</v>
      </c>
      <c r="CE15" s="9"/>
      <c r="CF15" s="9">
        <v>5.3999999999999999E-2</v>
      </c>
      <c r="CG15" s="9">
        <v>0</v>
      </c>
      <c r="CH15" s="8">
        <f t="shared" si="35"/>
        <v>5.3999999999999999E-2</v>
      </c>
      <c r="CI15" s="8">
        <f t="shared" si="36"/>
        <v>6.8109999999999999</v>
      </c>
      <c r="CJ15" s="8">
        <f t="shared" si="37"/>
        <v>6.8109999999999999</v>
      </c>
      <c r="CK15" s="9"/>
      <c r="CL15" s="9">
        <v>0.108</v>
      </c>
      <c r="CM15" s="9">
        <v>0</v>
      </c>
      <c r="CN15" s="8">
        <f t="shared" si="38"/>
        <v>0.108</v>
      </c>
      <c r="CO15" s="8">
        <f t="shared" si="39"/>
        <v>6.7030000000000003</v>
      </c>
      <c r="CP15" s="8">
        <f t="shared" si="40"/>
        <v>6.7030000000000003</v>
      </c>
      <c r="CQ15" s="9"/>
      <c r="CR15" s="9"/>
      <c r="CS15" s="9"/>
      <c r="CT15" s="8">
        <f t="shared" si="41"/>
        <v>0</v>
      </c>
      <c r="CU15" s="8">
        <f t="shared" si="42"/>
        <v>6.7030000000000003</v>
      </c>
      <c r="CV15" s="8">
        <f t="shared" si="43"/>
        <v>6.7030000000000003</v>
      </c>
      <c r="CW15" s="9"/>
      <c r="CX15" s="9"/>
      <c r="CY15" s="9"/>
      <c r="CZ15" s="8">
        <f t="shared" si="44"/>
        <v>0</v>
      </c>
      <c r="DA15" s="8">
        <f t="shared" si="45"/>
        <v>6.7030000000000003</v>
      </c>
      <c r="DB15" s="8">
        <f t="shared" si="46"/>
        <v>6.7030000000000003</v>
      </c>
      <c r="DC15" s="9"/>
      <c r="DD15" s="9"/>
      <c r="DE15" s="9"/>
      <c r="DF15" s="8">
        <f t="shared" si="47"/>
        <v>0</v>
      </c>
      <c r="DG15" s="8">
        <f t="shared" si="48"/>
        <v>6.7030000000000003</v>
      </c>
      <c r="DH15" s="8">
        <f t="shared" si="49"/>
        <v>6.7030000000000003</v>
      </c>
      <c r="DI15" s="9"/>
      <c r="DJ15" s="9"/>
      <c r="DK15" s="9"/>
      <c r="DL15" s="8">
        <f t="shared" si="50"/>
        <v>0</v>
      </c>
      <c r="DM15" s="8">
        <f t="shared" si="51"/>
        <v>6.7030000000000003</v>
      </c>
      <c r="DN15" s="8">
        <f t="shared" si="52"/>
        <v>6.7030000000000003</v>
      </c>
      <c r="DO15" s="9"/>
      <c r="DP15" s="9"/>
      <c r="DQ15" s="9"/>
      <c r="DR15" s="8">
        <f t="shared" si="53"/>
        <v>0</v>
      </c>
      <c r="DS15" s="8">
        <f t="shared" si="54"/>
        <v>6.7030000000000003</v>
      </c>
      <c r="DT15" s="8">
        <f t="shared" si="55"/>
        <v>6.7030000000000003</v>
      </c>
      <c r="DU15" s="9"/>
      <c r="DV15" s="9"/>
      <c r="DW15" s="9"/>
      <c r="DX15" s="8">
        <f t="shared" si="56"/>
        <v>0</v>
      </c>
      <c r="DY15" s="8">
        <f t="shared" si="57"/>
        <v>6.7030000000000003</v>
      </c>
      <c r="DZ15" s="8">
        <f t="shared" si="58"/>
        <v>6.7030000000000003</v>
      </c>
      <c r="EA15" s="9"/>
      <c r="EB15" s="9"/>
      <c r="EC15" s="9"/>
      <c r="ED15" s="8">
        <f t="shared" si="59"/>
        <v>0</v>
      </c>
      <c r="EE15" s="8">
        <f t="shared" si="60"/>
        <v>6.7030000000000003</v>
      </c>
      <c r="EF15" s="8">
        <f t="shared" si="61"/>
        <v>6.7030000000000003</v>
      </c>
      <c r="EG15" s="9"/>
      <c r="EH15" s="9"/>
      <c r="EI15" s="9"/>
      <c r="EJ15" s="8">
        <f t="shared" si="62"/>
        <v>0</v>
      </c>
      <c r="EK15" s="8">
        <f t="shared" si="63"/>
        <v>6.7030000000000003</v>
      </c>
      <c r="EL15" s="8">
        <f t="shared" si="64"/>
        <v>6.7030000000000003</v>
      </c>
      <c r="EM15" s="9"/>
      <c r="EN15" s="9"/>
      <c r="EO15" s="9"/>
      <c r="EP15" s="8">
        <f t="shared" si="65"/>
        <v>0</v>
      </c>
      <c r="EQ15" s="8">
        <f t="shared" si="66"/>
        <v>6.7030000000000003</v>
      </c>
      <c r="ER15" s="8">
        <f t="shared" si="67"/>
        <v>6.7030000000000003</v>
      </c>
      <c r="ES15" s="9"/>
      <c r="ET15" s="9"/>
      <c r="EU15" s="9"/>
      <c r="EV15" s="8">
        <f t="shared" si="68"/>
        <v>0</v>
      </c>
      <c r="EW15" s="8">
        <f t="shared" si="69"/>
        <v>6.7030000000000003</v>
      </c>
      <c r="EX15" s="8">
        <f t="shared" si="70"/>
        <v>6.7030000000000003</v>
      </c>
      <c r="EY15" s="9"/>
      <c r="EZ15" s="9"/>
      <c r="FA15" s="9"/>
      <c r="FB15" s="8">
        <f t="shared" si="71"/>
        <v>0</v>
      </c>
      <c r="FC15" s="8">
        <f t="shared" si="72"/>
        <v>6.7030000000000003</v>
      </c>
      <c r="FD15" s="8">
        <f t="shared" si="73"/>
        <v>6.7030000000000003</v>
      </c>
      <c r="FE15" s="9"/>
      <c r="FF15" s="9"/>
      <c r="FG15" s="9"/>
      <c r="FH15" s="8">
        <f t="shared" si="74"/>
        <v>0</v>
      </c>
      <c r="FI15" s="8">
        <f t="shared" si="75"/>
        <v>6.7030000000000003</v>
      </c>
      <c r="FJ15" s="8">
        <f t="shared" si="76"/>
        <v>6.7030000000000003</v>
      </c>
      <c r="FK15" s="9"/>
      <c r="FL15" s="9"/>
      <c r="FM15" s="9"/>
      <c r="FN15" s="8">
        <f t="shared" si="77"/>
        <v>0</v>
      </c>
      <c r="FO15" s="8">
        <f t="shared" si="78"/>
        <v>6.7030000000000003</v>
      </c>
      <c r="FP15" s="8">
        <f t="shared" si="79"/>
        <v>6.7030000000000003</v>
      </c>
      <c r="FQ15" s="9"/>
      <c r="FR15" s="9"/>
      <c r="FS15" s="9"/>
      <c r="FT15" s="8">
        <f t="shared" si="80"/>
        <v>0</v>
      </c>
      <c r="FU15" s="8">
        <f t="shared" si="81"/>
        <v>6.7030000000000003</v>
      </c>
      <c r="FV15" s="8">
        <f t="shared" si="82"/>
        <v>6.7030000000000003</v>
      </c>
      <c r="FW15" s="9"/>
      <c r="FX15" s="9"/>
      <c r="FY15" s="9"/>
      <c r="FZ15" s="8">
        <f t="shared" si="83"/>
        <v>0</v>
      </c>
      <c r="GA15" s="8">
        <f t="shared" si="84"/>
        <v>6.7030000000000003</v>
      </c>
      <c r="GB15" s="8">
        <f t="shared" si="85"/>
        <v>6.7030000000000003</v>
      </c>
      <c r="GC15" s="9"/>
      <c r="GD15" s="9"/>
      <c r="GE15" s="9"/>
      <c r="GF15" s="8">
        <f t="shared" si="86"/>
        <v>0</v>
      </c>
      <c r="GG15" s="8">
        <f t="shared" si="87"/>
        <v>6.7030000000000003</v>
      </c>
      <c r="GH15" s="8">
        <f t="shared" si="88"/>
        <v>6.7030000000000003</v>
      </c>
      <c r="GI15" s="9"/>
      <c r="GJ15" s="9"/>
      <c r="GK15" s="9"/>
      <c r="GL15" s="8">
        <f t="shared" si="89"/>
        <v>0</v>
      </c>
      <c r="GM15" s="8">
        <f t="shared" si="90"/>
        <v>6.7030000000000003</v>
      </c>
      <c r="GN15" s="10">
        <f t="shared" si="91"/>
        <v>0</v>
      </c>
      <c r="GO15" s="10">
        <f t="shared" si="92"/>
        <v>1.4030000000000002</v>
      </c>
      <c r="GP15" s="10">
        <f t="shared" si="93"/>
        <v>0</v>
      </c>
      <c r="GQ15" s="11">
        <f t="shared" si="94"/>
        <v>1.4030000000000002</v>
      </c>
      <c r="GR15" s="11">
        <f t="shared" si="95"/>
        <v>6.7030000000000003</v>
      </c>
    </row>
    <row r="16" spans="1:200" ht="15.75" customHeight="1" x14ac:dyDescent="0.3">
      <c r="A16" s="6">
        <v>8</v>
      </c>
      <c r="B16" s="22" t="s">
        <v>272</v>
      </c>
      <c r="C16" s="20" t="s">
        <v>187</v>
      </c>
      <c r="D16" s="24" t="s">
        <v>362</v>
      </c>
      <c r="E16" s="16" t="s">
        <v>102</v>
      </c>
      <c r="F16" s="12" t="s">
        <v>375</v>
      </c>
      <c r="G16" s="12" t="s">
        <v>71</v>
      </c>
      <c r="H16" s="7" t="s">
        <v>70</v>
      </c>
      <c r="I16" s="8">
        <v>5.64</v>
      </c>
      <c r="J16" s="8">
        <v>5.64</v>
      </c>
      <c r="K16" s="9"/>
      <c r="L16" s="9"/>
      <c r="M16" s="9"/>
      <c r="N16" s="8">
        <f t="shared" si="0"/>
        <v>0</v>
      </c>
      <c r="O16" s="8">
        <f t="shared" si="96"/>
        <v>5.64</v>
      </c>
      <c r="P16" s="8">
        <f t="shared" si="1"/>
        <v>5.64</v>
      </c>
      <c r="Q16" s="9"/>
      <c r="R16" s="9"/>
      <c r="S16" s="9"/>
      <c r="T16" s="8">
        <f t="shared" si="2"/>
        <v>0</v>
      </c>
      <c r="U16" s="8">
        <f t="shared" si="3"/>
        <v>5.64</v>
      </c>
      <c r="V16" s="8">
        <f t="shared" si="4"/>
        <v>5.64</v>
      </c>
      <c r="W16" s="29"/>
      <c r="X16" s="29"/>
      <c r="Y16" s="29"/>
      <c r="Z16" s="8">
        <f t="shared" si="5"/>
        <v>0</v>
      </c>
      <c r="AA16" s="8">
        <f t="shared" si="6"/>
        <v>5.64</v>
      </c>
      <c r="AB16" s="8">
        <f t="shared" si="7"/>
        <v>5.64</v>
      </c>
      <c r="AC16" s="29"/>
      <c r="AD16" s="29">
        <v>0.14000000000000001</v>
      </c>
      <c r="AE16" s="29">
        <v>0</v>
      </c>
      <c r="AF16" s="8">
        <f t="shared" si="8"/>
        <v>0.14000000000000001</v>
      </c>
      <c r="AG16" s="8">
        <f t="shared" si="9"/>
        <v>5.5</v>
      </c>
      <c r="AH16" s="8">
        <f t="shared" si="10"/>
        <v>5.5</v>
      </c>
      <c r="AI16" s="29"/>
      <c r="AJ16" s="29"/>
      <c r="AK16" s="29"/>
      <c r="AL16" s="8">
        <f t="shared" si="11"/>
        <v>0</v>
      </c>
      <c r="AM16" s="8">
        <f t="shared" si="12"/>
        <v>5.5</v>
      </c>
      <c r="AN16" s="8">
        <f t="shared" si="13"/>
        <v>5.5</v>
      </c>
      <c r="AO16" s="9"/>
      <c r="AP16" s="9"/>
      <c r="AQ16" s="9"/>
      <c r="AR16" s="8">
        <f t="shared" si="14"/>
        <v>0</v>
      </c>
      <c r="AS16" s="8">
        <f t="shared" si="15"/>
        <v>5.5</v>
      </c>
      <c r="AT16" s="8">
        <f t="shared" si="16"/>
        <v>5.5</v>
      </c>
      <c r="AU16" s="9"/>
      <c r="AV16" s="9"/>
      <c r="AW16" s="9"/>
      <c r="AX16" s="8">
        <f t="shared" si="17"/>
        <v>0</v>
      </c>
      <c r="AY16" s="8">
        <f t="shared" si="18"/>
        <v>5.5</v>
      </c>
      <c r="AZ16" s="8">
        <f t="shared" si="19"/>
        <v>5.5</v>
      </c>
      <c r="BA16" s="9"/>
      <c r="BB16" s="9"/>
      <c r="BC16" s="9"/>
      <c r="BD16" s="8">
        <f t="shared" si="20"/>
        <v>0</v>
      </c>
      <c r="BE16" s="8">
        <f t="shared" si="21"/>
        <v>5.5</v>
      </c>
      <c r="BF16" s="8">
        <f t="shared" si="22"/>
        <v>5.5</v>
      </c>
      <c r="BG16" s="9"/>
      <c r="BH16" s="9"/>
      <c r="BI16" s="9"/>
      <c r="BJ16" s="8">
        <f t="shared" si="23"/>
        <v>0</v>
      </c>
      <c r="BK16" s="8">
        <f t="shared" si="24"/>
        <v>5.5</v>
      </c>
      <c r="BL16" s="8">
        <f t="shared" si="25"/>
        <v>5.5</v>
      </c>
      <c r="BM16" s="9"/>
      <c r="BN16" s="9"/>
      <c r="BO16" s="9"/>
      <c r="BP16" s="8">
        <f t="shared" si="26"/>
        <v>0</v>
      </c>
      <c r="BQ16" s="8">
        <f t="shared" si="27"/>
        <v>5.5</v>
      </c>
      <c r="BR16" s="8">
        <f t="shared" si="28"/>
        <v>5.5</v>
      </c>
      <c r="BS16" s="9"/>
      <c r="BT16" s="9"/>
      <c r="BU16" s="9"/>
      <c r="BV16" s="8">
        <f t="shared" si="29"/>
        <v>0</v>
      </c>
      <c r="BW16" s="8">
        <f t="shared" si="30"/>
        <v>5.5</v>
      </c>
      <c r="BX16" s="8">
        <f t="shared" si="31"/>
        <v>5.5</v>
      </c>
      <c r="BY16" s="9"/>
      <c r="BZ16" s="9">
        <v>0.02</v>
      </c>
      <c r="CA16" s="9">
        <v>0</v>
      </c>
      <c r="CB16" s="8">
        <f t="shared" si="32"/>
        <v>0.02</v>
      </c>
      <c r="CC16" s="8">
        <f t="shared" si="33"/>
        <v>5.48</v>
      </c>
      <c r="CD16" s="8">
        <f t="shared" si="34"/>
        <v>5.48</v>
      </c>
      <c r="CE16" s="9"/>
      <c r="CF16" s="9">
        <v>1.2E-2</v>
      </c>
      <c r="CG16" s="9">
        <v>0</v>
      </c>
      <c r="CH16" s="8">
        <f t="shared" si="35"/>
        <v>1.2E-2</v>
      </c>
      <c r="CI16" s="8">
        <f t="shared" si="36"/>
        <v>5.4680000000000009</v>
      </c>
      <c r="CJ16" s="8">
        <f t="shared" si="37"/>
        <v>5.4680000000000009</v>
      </c>
      <c r="CK16" s="9"/>
      <c r="CL16" s="9">
        <v>2E-3</v>
      </c>
      <c r="CM16" s="9">
        <v>0</v>
      </c>
      <c r="CN16" s="8">
        <f t="shared" si="38"/>
        <v>2E-3</v>
      </c>
      <c r="CO16" s="8">
        <f t="shared" si="39"/>
        <v>5.4660000000000011</v>
      </c>
      <c r="CP16" s="8">
        <f t="shared" si="40"/>
        <v>5.4660000000000011</v>
      </c>
      <c r="CQ16" s="9"/>
      <c r="CR16" s="9"/>
      <c r="CS16" s="9"/>
      <c r="CT16" s="8">
        <f t="shared" si="41"/>
        <v>0</v>
      </c>
      <c r="CU16" s="8">
        <f t="shared" si="42"/>
        <v>5.4660000000000011</v>
      </c>
      <c r="CV16" s="8">
        <f t="shared" si="43"/>
        <v>5.4660000000000011</v>
      </c>
      <c r="CW16" s="9"/>
      <c r="CX16" s="9"/>
      <c r="CY16" s="9"/>
      <c r="CZ16" s="8">
        <f t="shared" si="44"/>
        <v>0</v>
      </c>
      <c r="DA16" s="8">
        <f t="shared" si="45"/>
        <v>5.4660000000000011</v>
      </c>
      <c r="DB16" s="8">
        <f t="shared" si="46"/>
        <v>5.4660000000000011</v>
      </c>
      <c r="DC16" s="9"/>
      <c r="DD16" s="9"/>
      <c r="DE16" s="9"/>
      <c r="DF16" s="8">
        <f t="shared" si="47"/>
        <v>0</v>
      </c>
      <c r="DG16" s="8">
        <f t="shared" si="48"/>
        <v>5.4660000000000011</v>
      </c>
      <c r="DH16" s="8">
        <f t="shared" si="49"/>
        <v>5.4660000000000011</v>
      </c>
      <c r="DI16" s="9"/>
      <c r="DJ16" s="9"/>
      <c r="DK16" s="9"/>
      <c r="DL16" s="8">
        <f t="shared" si="50"/>
        <v>0</v>
      </c>
      <c r="DM16" s="8">
        <f t="shared" si="51"/>
        <v>5.4660000000000011</v>
      </c>
      <c r="DN16" s="8">
        <f t="shared" si="52"/>
        <v>5.4660000000000011</v>
      </c>
      <c r="DO16" s="9"/>
      <c r="DP16" s="9"/>
      <c r="DQ16" s="9"/>
      <c r="DR16" s="8">
        <f t="shared" si="53"/>
        <v>0</v>
      </c>
      <c r="DS16" s="8">
        <f t="shared" si="54"/>
        <v>5.4660000000000011</v>
      </c>
      <c r="DT16" s="8">
        <f t="shared" si="55"/>
        <v>5.4660000000000011</v>
      </c>
      <c r="DU16" s="9"/>
      <c r="DV16" s="9"/>
      <c r="DW16" s="9"/>
      <c r="DX16" s="8">
        <f t="shared" si="56"/>
        <v>0</v>
      </c>
      <c r="DY16" s="8">
        <f t="shared" si="57"/>
        <v>5.4660000000000011</v>
      </c>
      <c r="DZ16" s="8">
        <f t="shared" si="58"/>
        <v>5.4660000000000011</v>
      </c>
      <c r="EA16" s="9"/>
      <c r="EB16" s="9"/>
      <c r="EC16" s="9"/>
      <c r="ED16" s="8">
        <f t="shared" si="59"/>
        <v>0</v>
      </c>
      <c r="EE16" s="8">
        <f t="shared" si="60"/>
        <v>5.4660000000000011</v>
      </c>
      <c r="EF16" s="8">
        <f t="shared" si="61"/>
        <v>5.4660000000000011</v>
      </c>
      <c r="EG16" s="9"/>
      <c r="EH16" s="9"/>
      <c r="EI16" s="9"/>
      <c r="EJ16" s="8">
        <f t="shared" si="62"/>
        <v>0</v>
      </c>
      <c r="EK16" s="8">
        <f t="shared" si="63"/>
        <v>5.4660000000000011</v>
      </c>
      <c r="EL16" s="8">
        <f t="shared" si="64"/>
        <v>5.4660000000000011</v>
      </c>
      <c r="EM16" s="9"/>
      <c r="EN16" s="9"/>
      <c r="EO16" s="9"/>
      <c r="EP16" s="8">
        <f t="shared" si="65"/>
        <v>0</v>
      </c>
      <c r="EQ16" s="8">
        <f t="shared" si="66"/>
        <v>5.4660000000000011</v>
      </c>
      <c r="ER16" s="8">
        <f t="shared" si="67"/>
        <v>5.4660000000000011</v>
      </c>
      <c r="ES16" s="9"/>
      <c r="ET16" s="9"/>
      <c r="EU16" s="9"/>
      <c r="EV16" s="8">
        <f t="shared" si="68"/>
        <v>0</v>
      </c>
      <c r="EW16" s="8">
        <f t="shared" si="69"/>
        <v>5.4660000000000011</v>
      </c>
      <c r="EX16" s="8">
        <f t="shared" si="70"/>
        <v>5.4660000000000011</v>
      </c>
      <c r="EY16" s="9"/>
      <c r="EZ16" s="9"/>
      <c r="FA16" s="9"/>
      <c r="FB16" s="8">
        <f t="shared" si="71"/>
        <v>0</v>
      </c>
      <c r="FC16" s="8">
        <f t="shared" si="72"/>
        <v>5.4660000000000011</v>
      </c>
      <c r="FD16" s="8">
        <f t="shared" si="73"/>
        <v>5.4660000000000011</v>
      </c>
      <c r="FE16" s="9"/>
      <c r="FF16" s="9"/>
      <c r="FG16" s="9"/>
      <c r="FH16" s="8">
        <f t="shared" si="74"/>
        <v>0</v>
      </c>
      <c r="FI16" s="8">
        <f t="shared" si="75"/>
        <v>5.4660000000000011</v>
      </c>
      <c r="FJ16" s="8">
        <f t="shared" si="76"/>
        <v>5.4660000000000011</v>
      </c>
      <c r="FK16" s="9"/>
      <c r="FL16" s="9"/>
      <c r="FM16" s="9"/>
      <c r="FN16" s="8">
        <f t="shared" si="77"/>
        <v>0</v>
      </c>
      <c r="FO16" s="8">
        <f t="shared" si="78"/>
        <v>5.4660000000000011</v>
      </c>
      <c r="FP16" s="8">
        <f t="shared" si="79"/>
        <v>5.4660000000000011</v>
      </c>
      <c r="FQ16" s="9"/>
      <c r="FR16" s="9"/>
      <c r="FS16" s="9"/>
      <c r="FT16" s="8">
        <f t="shared" si="80"/>
        <v>0</v>
      </c>
      <c r="FU16" s="8">
        <f t="shared" si="81"/>
        <v>5.4660000000000011</v>
      </c>
      <c r="FV16" s="8">
        <f t="shared" si="82"/>
        <v>5.4660000000000011</v>
      </c>
      <c r="FW16" s="9"/>
      <c r="FX16" s="9"/>
      <c r="FY16" s="9"/>
      <c r="FZ16" s="8">
        <f t="shared" si="83"/>
        <v>0</v>
      </c>
      <c r="GA16" s="8">
        <f t="shared" si="84"/>
        <v>5.4660000000000011</v>
      </c>
      <c r="GB16" s="8">
        <f t="shared" si="85"/>
        <v>5.4660000000000011</v>
      </c>
      <c r="GC16" s="9"/>
      <c r="GD16" s="9"/>
      <c r="GE16" s="9"/>
      <c r="GF16" s="8">
        <f t="shared" si="86"/>
        <v>0</v>
      </c>
      <c r="GG16" s="8">
        <f t="shared" si="87"/>
        <v>5.4660000000000011</v>
      </c>
      <c r="GH16" s="8">
        <f t="shared" si="88"/>
        <v>5.4660000000000011</v>
      </c>
      <c r="GI16" s="9"/>
      <c r="GJ16" s="9"/>
      <c r="GK16" s="9"/>
      <c r="GL16" s="8">
        <f t="shared" si="89"/>
        <v>0</v>
      </c>
      <c r="GM16" s="8">
        <f t="shared" si="90"/>
        <v>5.4660000000000011</v>
      </c>
      <c r="GN16" s="10">
        <f t="shared" si="91"/>
        <v>0</v>
      </c>
      <c r="GO16" s="10">
        <f t="shared" si="92"/>
        <v>0.17400000000000002</v>
      </c>
      <c r="GP16" s="10">
        <f t="shared" si="93"/>
        <v>0</v>
      </c>
      <c r="GQ16" s="11">
        <f t="shared" si="94"/>
        <v>0.17400000000000002</v>
      </c>
      <c r="GR16" s="11">
        <f t="shared" si="95"/>
        <v>5.4660000000000011</v>
      </c>
    </row>
    <row r="17" spans="1:200" ht="15.75" customHeight="1" x14ac:dyDescent="0.3">
      <c r="A17" s="6">
        <v>9</v>
      </c>
      <c r="B17" s="22" t="s">
        <v>273</v>
      </c>
      <c r="C17" s="20" t="s">
        <v>187</v>
      </c>
      <c r="D17" s="24" t="s">
        <v>362</v>
      </c>
      <c r="E17" s="16" t="s">
        <v>103</v>
      </c>
      <c r="F17" s="12" t="s">
        <v>375</v>
      </c>
      <c r="G17" s="12" t="s">
        <v>71</v>
      </c>
      <c r="H17" s="7" t="s">
        <v>70</v>
      </c>
      <c r="I17" s="8">
        <v>8.7000000000000011</v>
      </c>
      <c r="J17" s="8">
        <v>8.7000000000000011</v>
      </c>
      <c r="K17" s="9"/>
      <c r="L17" s="9"/>
      <c r="M17" s="9"/>
      <c r="N17" s="8">
        <f t="shared" si="0"/>
        <v>0</v>
      </c>
      <c r="O17" s="8">
        <f t="shared" si="96"/>
        <v>8.7000000000000011</v>
      </c>
      <c r="P17" s="8">
        <f t="shared" si="1"/>
        <v>8.7000000000000011</v>
      </c>
      <c r="Q17" s="9"/>
      <c r="R17" s="9"/>
      <c r="S17" s="9"/>
      <c r="T17" s="8">
        <f t="shared" si="2"/>
        <v>0</v>
      </c>
      <c r="U17" s="8">
        <f t="shared" si="3"/>
        <v>8.7000000000000011</v>
      </c>
      <c r="V17" s="8">
        <f t="shared" si="4"/>
        <v>8.7000000000000011</v>
      </c>
      <c r="W17" s="29"/>
      <c r="X17" s="29"/>
      <c r="Y17" s="29"/>
      <c r="Z17" s="8">
        <f t="shared" si="5"/>
        <v>0</v>
      </c>
      <c r="AA17" s="8">
        <f t="shared" si="6"/>
        <v>8.7000000000000011</v>
      </c>
      <c r="AB17" s="8">
        <f t="shared" si="7"/>
        <v>8.7000000000000011</v>
      </c>
      <c r="AC17" s="29"/>
      <c r="AD17" s="29"/>
      <c r="AE17" s="29"/>
      <c r="AF17" s="8">
        <f t="shared" si="8"/>
        <v>0</v>
      </c>
      <c r="AG17" s="8">
        <f t="shared" si="9"/>
        <v>8.7000000000000011</v>
      </c>
      <c r="AH17" s="8">
        <f t="shared" si="10"/>
        <v>8.7000000000000011</v>
      </c>
      <c r="AI17" s="29"/>
      <c r="AJ17" s="29"/>
      <c r="AK17" s="29"/>
      <c r="AL17" s="8">
        <f t="shared" si="11"/>
        <v>0</v>
      </c>
      <c r="AM17" s="8">
        <f t="shared" si="12"/>
        <v>8.7000000000000011</v>
      </c>
      <c r="AN17" s="8">
        <f t="shared" si="13"/>
        <v>8.7000000000000011</v>
      </c>
      <c r="AO17" s="9"/>
      <c r="AP17" s="9"/>
      <c r="AQ17" s="9"/>
      <c r="AR17" s="8">
        <f t="shared" si="14"/>
        <v>0</v>
      </c>
      <c r="AS17" s="8">
        <f t="shared" si="15"/>
        <v>8.7000000000000011</v>
      </c>
      <c r="AT17" s="8">
        <f t="shared" si="16"/>
        <v>8.7000000000000011</v>
      </c>
      <c r="AU17" s="9"/>
      <c r="AV17" s="9"/>
      <c r="AW17" s="9"/>
      <c r="AX17" s="8">
        <f t="shared" si="17"/>
        <v>0</v>
      </c>
      <c r="AY17" s="8">
        <f t="shared" si="18"/>
        <v>8.7000000000000011</v>
      </c>
      <c r="AZ17" s="8">
        <f t="shared" si="19"/>
        <v>8.7000000000000011</v>
      </c>
      <c r="BA17" s="9"/>
      <c r="BB17" s="9"/>
      <c r="BC17" s="9"/>
      <c r="BD17" s="8">
        <f t="shared" si="20"/>
        <v>0</v>
      </c>
      <c r="BE17" s="8">
        <f t="shared" si="21"/>
        <v>8.7000000000000011</v>
      </c>
      <c r="BF17" s="8">
        <f t="shared" si="22"/>
        <v>8.7000000000000011</v>
      </c>
      <c r="BG17" s="9"/>
      <c r="BH17" s="9"/>
      <c r="BI17" s="9"/>
      <c r="BJ17" s="8">
        <f t="shared" si="23"/>
        <v>0</v>
      </c>
      <c r="BK17" s="8">
        <f t="shared" si="24"/>
        <v>8.7000000000000011</v>
      </c>
      <c r="BL17" s="8">
        <f t="shared" si="25"/>
        <v>8.7000000000000011</v>
      </c>
      <c r="BM17" s="9"/>
      <c r="BN17" s="9"/>
      <c r="BO17" s="9"/>
      <c r="BP17" s="8">
        <f t="shared" si="26"/>
        <v>0</v>
      </c>
      <c r="BQ17" s="8">
        <f t="shared" si="27"/>
        <v>8.7000000000000011</v>
      </c>
      <c r="BR17" s="8">
        <f t="shared" si="28"/>
        <v>8.7000000000000011</v>
      </c>
      <c r="BS17" s="9"/>
      <c r="BT17" s="9"/>
      <c r="BU17" s="9"/>
      <c r="BV17" s="8">
        <f t="shared" si="29"/>
        <v>0</v>
      </c>
      <c r="BW17" s="8">
        <f t="shared" si="30"/>
        <v>8.7000000000000011</v>
      </c>
      <c r="BX17" s="8">
        <f t="shared" si="31"/>
        <v>8.7000000000000011</v>
      </c>
      <c r="BY17" s="9"/>
      <c r="BZ17" s="9"/>
      <c r="CA17" s="9"/>
      <c r="CB17" s="8">
        <f t="shared" si="32"/>
        <v>0</v>
      </c>
      <c r="CC17" s="8">
        <f t="shared" si="33"/>
        <v>8.7000000000000011</v>
      </c>
      <c r="CD17" s="8">
        <f t="shared" si="34"/>
        <v>8.7000000000000011</v>
      </c>
      <c r="CE17" s="9"/>
      <c r="CF17" s="9"/>
      <c r="CG17" s="9"/>
      <c r="CH17" s="8">
        <f t="shared" si="35"/>
        <v>0</v>
      </c>
      <c r="CI17" s="8">
        <f t="shared" si="36"/>
        <v>8.7000000000000011</v>
      </c>
      <c r="CJ17" s="8">
        <f t="shared" si="37"/>
        <v>8.7000000000000011</v>
      </c>
      <c r="CK17" s="9"/>
      <c r="CL17" s="9"/>
      <c r="CM17" s="9"/>
      <c r="CN17" s="8">
        <f t="shared" si="38"/>
        <v>0</v>
      </c>
      <c r="CO17" s="8">
        <f t="shared" si="39"/>
        <v>8.7000000000000011</v>
      </c>
      <c r="CP17" s="8">
        <f t="shared" si="40"/>
        <v>8.7000000000000011</v>
      </c>
      <c r="CQ17" s="9"/>
      <c r="CR17" s="9"/>
      <c r="CS17" s="9"/>
      <c r="CT17" s="8">
        <f t="shared" si="41"/>
        <v>0</v>
      </c>
      <c r="CU17" s="8">
        <f t="shared" si="42"/>
        <v>8.7000000000000011</v>
      </c>
      <c r="CV17" s="8">
        <f t="shared" si="43"/>
        <v>8.7000000000000011</v>
      </c>
      <c r="CW17" s="9"/>
      <c r="CX17" s="9"/>
      <c r="CY17" s="9"/>
      <c r="CZ17" s="8">
        <f t="shared" si="44"/>
        <v>0</v>
      </c>
      <c r="DA17" s="8">
        <f t="shared" si="45"/>
        <v>8.7000000000000011</v>
      </c>
      <c r="DB17" s="8">
        <f t="shared" si="46"/>
        <v>8.7000000000000011</v>
      </c>
      <c r="DC17" s="9"/>
      <c r="DD17" s="9"/>
      <c r="DE17" s="9"/>
      <c r="DF17" s="8">
        <f t="shared" si="47"/>
        <v>0</v>
      </c>
      <c r="DG17" s="8">
        <f t="shared" si="48"/>
        <v>8.7000000000000011</v>
      </c>
      <c r="DH17" s="8">
        <f t="shared" si="49"/>
        <v>8.7000000000000011</v>
      </c>
      <c r="DI17" s="9"/>
      <c r="DJ17" s="9"/>
      <c r="DK17" s="9"/>
      <c r="DL17" s="8">
        <f t="shared" si="50"/>
        <v>0</v>
      </c>
      <c r="DM17" s="8">
        <f t="shared" si="51"/>
        <v>8.7000000000000011</v>
      </c>
      <c r="DN17" s="8">
        <f t="shared" si="52"/>
        <v>8.7000000000000011</v>
      </c>
      <c r="DO17" s="9"/>
      <c r="DP17" s="9"/>
      <c r="DQ17" s="9"/>
      <c r="DR17" s="8">
        <f t="shared" si="53"/>
        <v>0</v>
      </c>
      <c r="DS17" s="8">
        <f t="shared" si="54"/>
        <v>8.7000000000000011</v>
      </c>
      <c r="DT17" s="8">
        <f t="shared" si="55"/>
        <v>8.7000000000000011</v>
      </c>
      <c r="DU17" s="9"/>
      <c r="DV17" s="9"/>
      <c r="DW17" s="9"/>
      <c r="DX17" s="8">
        <f t="shared" si="56"/>
        <v>0</v>
      </c>
      <c r="DY17" s="8">
        <f t="shared" si="57"/>
        <v>8.7000000000000011</v>
      </c>
      <c r="DZ17" s="8">
        <f t="shared" si="58"/>
        <v>8.7000000000000011</v>
      </c>
      <c r="EA17" s="9"/>
      <c r="EB17" s="9"/>
      <c r="EC17" s="9"/>
      <c r="ED17" s="8">
        <f t="shared" si="59"/>
        <v>0</v>
      </c>
      <c r="EE17" s="8">
        <f t="shared" si="60"/>
        <v>8.7000000000000011</v>
      </c>
      <c r="EF17" s="8">
        <f t="shared" si="61"/>
        <v>8.7000000000000011</v>
      </c>
      <c r="EG17" s="9"/>
      <c r="EH17" s="9"/>
      <c r="EI17" s="9"/>
      <c r="EJ17" s="8">
        <f t="shared" si="62"/>
        <v>0</v>
      </c>
      <c r="EK17" s="8">
        <f t="shared" si="63"/>
        <v>8.7000000000000011</v>
      </c>
      <c r="EL17" s="8">
        <f t="shared" si="64"/>
        <v>8.7000000000000011</v>
      </c>
      <c r="EM17" s="9"/>
      <c r="EN17" s="9"/>
      <c r="EO17" s="9"/>
      <c r="EP17" s="8">
        <f t="shared" si="65"/>
        <v>0</v>
      </c>
      <c r="EQ17" s="8">
        <f t="shared" si="66"/>
        <v>8.7000000000000011</v>
      </c>
      <c r="ER17" s="8">
        <f t="shared" si="67"/>
        <v>8.7000000000000011</v>
      </c>
      <c r="ES17" s="9"/>
      <c r="ET17" s="9"/>
      <c r="EU17" s="9"/>
      <c r="EV17" s="8">
        <f t="shared" si="68"/>
        <v>0</v>
      </c>
      <c r="EW17" s="8">
        <f t="shared" si="69"/>
        <v>8.7000000000000011</v>
      </c>
      <c r="EX17" s="8">
        <f t="shared" si="70"/>
        <v>8.7000000000000011</v>
      </c>
      <c r="EY17" s="9"/>
      <c r="EZ17" s="9"/>
      <c r="FA17" s="9"/>
      <c r="FB17" s="8">
        <f t="shared" si="71"/>
        <v>0</v>
      </c>
      <c r="FC17" s="8">
        <f t="shared" si="72"/>
        <v>8.7000000000000011</v>
      </c>
      <c r="FD17" s="8">
        <f t="shared" si="73"/>
        <v>8.7000000000000011</v>
      </c>
      <c r="FE17" s="9"/>
      <c r="FF17" s="9"/>
      <c r="FG17" s="9"/>
      <c r="FH17" s="8">
        <f t="shared" si="74"/>
        <v>0</v>
      </c>
      <c r="FI17" s="8">
        <f t="shared" si="75"/>
        <v>8.7000000000000011</v>
      </c>
      <c r="FJ17" s="8">
        <f t="shared" si="76"/>
        <v>8.7000000000000011</v>
      </c>
      <c r="FK17" s="9"/>
      <c r="FL17" s="9"/>
      <c r="FM17" s="9"/>
      <c r="FN17" s="8">
        <f t="shared" si="77"/>
        <v>0</v>
      </c>
      <c r="FO17" s="8">
        <f t="shared" si="78"/>
        <v>8.7000000000000011</v>
      </c>
      <c r="FP17" s="8">
        <f t="shared" si="79"/>
        <v>8.7000000000000011</v>
      </c>
      <c r="FQ17" s="9"/>
      <c r="FR17" s="9"/>
      <c r="FS17" s="9"/>
      <c r="FT17" s="8">
        <f t="shared" si="80"/>
        <v>0</v>
      </c>
      <c r="FU17" s="8">
        <f t="shared" si="81"/>
        <v>8.7000000000000011</v>
      </c>
      <c r="FV17" s="8">
        <f t="shared" si="82"/>
        <v>8.7000000000000011</v>
      </c>
      <c r="FW17" s="9"/>
      <c r="FX17" s="9"/>
      <c r="FY17" s="9"/>
      <c r="FZ17" s="8">
        <f t="shared" si="83"/>
        <v>0</v>
      </c>
      <c r="GA17" s="8">
        <f t="shared" si="84"/>
        <v>8.7000000000000011</v>
      </c>
      <c r="GB17" s="8">
        <f t="shared" si="85"/>
        <v>8.7000000000000011</v>
      </c>
      <c r="GC17" s="9"/>
      <c r="GD17" s="9"/>
      <c r="GE17" s="9"/>
      <c r="GF17" s="8">
        <f t="shared" si="86"/>
        <v>0</v>
      </c>
      <c r="GG17" s="8">
        <f t="shared" si="87"/>
        <v>8.7000000000000011</v>
      </c>
      <c r="GH17" s="8">
        <f t="shared" si="88"/>
        <v>8.7000000000000011</v>
      </c>
      <c r="GI17" s="9"/>
      <c r="GJ17" s="9"/>
      <c r="GK17" s="9"/>
      <c r="GL17" s="8">
        <f t="shared" si="89"/>
        <v>0</v>
      </c>
      <c r="GM17" s="8">
        <f t="shared" si="90"/>
        <v>8.7000000000000011</v>
      </c>
      <c r="GN17" s="10">
        <f t="shared" si="91"/>
        <v>0</v>
      </c>
      <c r="GO17" s="10">
        <f t="shared" si="92"/>
        <v>0</v>
      </c>
      <c r="GP17" s="10">
        <f t="shared" si="93"/>
        <v>0</v>
      </c>
      <c r="GQ17" s="11">
        <f t="shared" si="94"/>
        <v>0</v>
      </c>
      <c r="GR17" s="11">
        <f t="shared" si="95"/>
        <v>8.7000000000000011</v>
      </c>
    </row>
    <row r="18" spans="1:200" ht="15.75" customHeight="1" x14ac:dyDescent="0.3">
      <c r="A18" s="6">
        <v>10</v>
      </c>
      <c r="B18" s="22" t="s">
        <v>274</v>
      </c>
      <c r="C18" s="20" t="s">
        <v>188</v>
      </c>
      <c r="D18" s="24" t="s">
        <v>362</v>
      </c>
      <c r="E18" s="16" t="s">
        <v>104</v>
      </c>
      <c r="F18" s="12" t="s">
        <v>377</v>
      </c>
      <c r="G18" s="12" t="s">
        <v>73</v>
      </c>
      <c r="H18" s="7" t="s">
        <v>70</v>
      </c>
      <c r="I18" s="8">
        <v>2.1210000000000009</v>
      </c>
      <c r="J18" s="8">
        <v>2.1210000000000009</v>
      </c>
      <c r="K18" s="9"/>
      <c r="L18" s="9">
        <v>0.02</v>
      </c>
      <c r="M18" s="9">
        <v>0</v>
      </c>
      <c r="N18" s="8">
        <f t="shared" si="0"/>
        <v>0.02</v>
      </c>
      <c r="O18" s="8">
        <f t="shared" si="96"/>
        <v>2.1010000000000009</v>
      </c>
      <c r="P18" s="8">
        <f t="shared" si="1"/>
        <v>2.1010000000000009</v>
      </c>
      <c r="Q18" s="9"/>
      <c r="R18" s="9"/>
      <c r="S18" s="9"/>
      <c r="T18" s="8">
        <f t="shared" si="2"/>
        <v>0</v>
      </c>
      <c r="U18" s="8">
        <f t="shared" si="3"/>
        <v>2.1010000000000009</v>
      </c>
      <c r="V18" s="8">
        <f t="shared" si="4"/>
        <v>2.1010000000000009</v>
      </c>
      <c r="W18" s="29"/>
      <c r="X18" s="29">
        <v>0.81</v>
      </c>
      <c r="Y18" s="29">
        <v>0</v>
      </c>
      <c r="Z18" s="8">
        <f t="shared" si="5"/>
        <v>0.81</v>
      </c>
      <c r="AA18" s="8">
        <f t="shared" si="6"/>
        <v>1.2910000000000008</v>
      </c>
      <c r="AB18" s="8">
        <f t="shared" si="7"/>
        <v>1.2910000000000008</v>
      </c>
      <c r="AC18" s="29"/>
      <c r="AD18" s="29">
        <v>0.12</v>
      </c>
      <c r="AE18" s="29">
        <v>0</v>
      </c>
      <c r="AF18" s="8">
        <f t="shared" si="8"/>
        <v>0.12</v>
      </c>
      <c r="AG18" s="8">
        <f t="shared" si="9"/>
        <v>1.1710000000000007</v>
      </c>
      <c r="AH18" s="8">
        <f t="shared" si="10"/>
        <v>1.1710000000000007</v>
      </c>
      <c r="AI18" s="29"/>
      <c r="AJ18" s="29">
        <v>1.17</v>
      </c>
      <c r="AK18" s="29">
        <v>0</v>
      </c>
      <c r="AL18" s="8">
        <f t="shared" si="11"/>
        <v>1.17</v>
      </c>
      <c r="AM18" s="8">
        <f t="shared" si="12"/>
        <v>1.000000000000778E-3</v>
      </c>
      <c r="AN18" s="8">
        <f t="shared" si="13"/>
        <v>1.000000000000778E-3</v>
      </c>
      <c r="AO18" s="9"/>
      <c r="AP18" s="9"/>
      <c r="AQ18" s="9"/>
      <c r="AR18" s="8">
        <f t="shared" si="14"/>
        <v>0</v>
      </c>
      <c r="AS18" s="8">
        <f t="shared" si="15"/>
        <v>1.000000000000778E-3</v>
      </c>
      <c r="AT18" s="8">
        <f t="shared" si="16"/>
        <v>1.000000000000778E-3</v>
      </c>
      <c r="AU18" s="9"/>
      <c r="AV18" s="9"/>
      <c r="AW18" s="9"/>
      <c r="AX18" s="8">
        <f t="shared" si="17"/>
        <v>0</v>
      </c>
      <c r="AY18" s="8">
        <f t="shared" si="18"/>
        <v>1.000000000000778E-3</v>
      </c>
      <c r="AZ18" s="8">
        <f t="shared" si="19"/>
        <v>1.000000000000778E-3</v>
      </c>
      <c r="BA18" s="9"/>
      <c r="BB18" s="9"/>
      <c r="BC18" s="9"/>
      <c r="BD18" s="8">
        <f t="shared" si="20"/>
        <v>0</v>
      </c>
      <c r="BE18" s="8">
        <f t="shared" si="21"/>
        <v>1.000000000000778E-3</v>
      </c>
      <c r="BF18" s="8">
        <f t="shared" si="22"/>
        <v>1.000000000000778E-3</v>
      </c>
      <c r="BG18" s="9"/>
      <c r="BH18" s="9"/>
      <c r="BI18" s="9"/>
      <c r="BJ18" s="8">
        <f t="shared" si="23"/>
        <v>0</v>
      </c>
      <c r="BK18" s="8">
        <f t="shared" si="24"/>
        <v>1.000000000000778E-3</v>
      </c>
      <c r="BL18" s="8">
        <f t="shared" si="25"/>
        <v>1.000000000000778E-3</v>
      </c>
      <c r="BM18" s="9"/>
      <c r="BN18" s="9"/>
      <c r="BO18" s="9"/>
      <c r="BP18" s="8">
        <f t="shared" si="26"/>
        <v>0</v>
      </c>
      <c r="BQ18" s="8">
        <f t="shared" si="27"/>
        <v>1.000000000000778E-3</v>
      </c>
      <c r="BR18" s="8">
        <f t="shared" si="28"/>
        <v>1.000000000000778E-3</v>
      </c>
      <c r="BS18" s="9"/>
      <c r="BT18" s="9"/>
      <c r="BU18" s="9"/>
      <c r="BV18" s="8">
        <f t="shared" si="29"/>
        <v>0</v>
      </c>
      <c r="BW18" s="8">
        <f t="shared" si="30"/>
        <v>1.000000000000778E-3</v>
      </c>
      <c r="BX18" s="8">
        <f t="shared" si="31"/>
        <v>1.000000000000778E-3</v>
      </c>
      <c r="BY18" s="9"/>
      <c r="BZ18" s="9"/>
      <c r="CA18" s="9"/>
      <c r="CB18" s="8">
        <f t="shared" si="32"/>
        <v>0</v>
      </c>
      <c r="CC18" s="8">
        <f t="shared" si="33"/>
        <v>1.000000000000778E-3</v>
      </c>
      <c r="CD18" s="8">
        <f t="shared" si="34"/>
        <v>1.000000000000778E-3</v>
      </c>
      <c r="CE18" s="9"/>
      <c r="CF18" s="9"/>
      <c r="CG18" s="9"/>
      <c r="CH18" s="8">
        <f t="shared" si="35"/>
        <v>0</v>
      </c>
      <c r="CI18" s="8">
        <f t="shared" si="36"/>
        <v>1.000000000000778E-3</v>
      </c>
      <c r="CJ18" s="8">
        <f t="shared" si="37"/>
        <v>1.000000000000778E-3</v>
      </c>
      <c r="CK18" s="9"/>
      <c r="CL18" s="9"/>
      <c r="CM18" s="9"/>
      <c r="CN18" s="8">
        <f t="shared" si="38"/>
        <v>0</v>
      </c>
      <c r="CO18" s="8">
        <f t="shared" si="39"/>
        <v>1.000000000000778E-3</v>
      </c>
      <c r="CP18" s="8">
        <f t="shared" si="40"/>
        <v>1.000000000000778E-3</v>
      </c>
      <c r="CQ18" s="9"/>
      <c r="CR18" s="9"/>
      <c r="CS18" s="9"/>
      <c r="CT18" s="8">
        <f t="shared" si="41"/>
        <v>0</v>
      </c>
      <c r="CU18" s="8">
        <f t="shared" si="42"/>
        <v>1.000000000000778E-3</v>
      </c>
      <c r="CV18" s="8">
        <f t="shared" si="43"/>
        <v>1.000000000000778E-3</v>
      </c>
      <c r="CW18" s="9"/>
      <c r="CX18" s="9"/>
      <c r="CY18" s="9"/>
      <c r="CZ18" s="8">
        <f t="shared" si="44"/>
        <v>0</v>
      </c>
      <c r="DA18" s="8">
        <f t="shared" si="45"/>
        <v>1.000000000000778E-3</v>
      </c>
      <c r="DB18" s="8">
        <f t="shared" si="46"/>
        <v>1.000000000000778E-3</v>
      </c>
      <c r="DC18" s="9"/>
      <c r="DD18" s="9"/>
      <c r="DE18" s="9"/>
      <c r="DF18" s="8">
        <f t="shared" si="47"/>
        <v>0</v>
      </c>
      <c r="DG18" s="8">
        <f t="shared" si="48"/>
        <v>1.000000000000778E-3</v>
      </c>
      <c r="DH18" s="8">
        <f t="shared" si="49"/>
        <v>1.000000000000778E-3</v>
      </c>
      <c r="DI18" s="9"/>
      <c r="DJ18" s="9"/>
      <c r="DK18" s="9"/>
      <c r="DL18" s="8">
        <f t="shared" si="50"/>
        <v>0</v>
      </c>
      <c r="DM18" s="8">
        <f t="shared" si="51"/>
        <v>1.000000000000778E-3</v>
      </c>
      <c r="DN18" s="8">
        <f t="shared" si="52"/>
        <v>1.000000000000778E-3</v>
      </c>
      <c r="DO18" s="9"/>
      <c r="DP18" s="9"/>
      <c r="DQ18" s="9"/>
      <c r="DR18" s="8">
        <f t="shared" si="53"/>
        <v>0</v>
      </c>
      <c r="DS18" s="8">
        <f t="shared" si="54"/>
        <v>1.000000000000778E-3</v>
      </c>
      <c r="DT18" s="8">
        <f t="shared" si="55"/>
        <v>1.000000000000778E-3</v>
      </c>
      <c r="DU18" s="9"/>
      <c r="DV18" s="9"/>
      <c r="DW18" s="9"/>
      <c r="DX18" s="8">
        <f t="shared" si="56"/>
        <v>0</v>
      </c>
      <c r="DY18" s="8">
        <f t="shared" si="57"/>
        <v>1.000000000000778E-3</v>
      </c>
      <c r="DZ18" s="8">
        <f t="shared" si="58"/>
        <v>1.000000000000778E-3</v>
      </c>
      <c r="EA18" s="9"/>
      <c r="EB18" s="9"/>
      <c r="EC18" s="9"/>
      <c r="ED18" s="8">
        <f t="shared" si="59"/>
        <v>0</v>
      </c>
      <c r="EE18" s="8">
        <f t="shared" si="60"/>
        <v>1.000000000000778E-3</v>
      </c>
      <c r="EF18" s="8">
        <f t="shared" si="61"/>
        <v>1.000000000000778E-3</v>
      </c>
      <c r="EG18" s="9"/>
      <c r="EH18" s="9"/>
      <c r="EI18" s="9"/>
      <c r="EJ18" s="8">
        <f t="shared" si="62"/>
        <v>0</v>
      </c>
      <c r="EK18" s="8">
        <f t="shared" si="63"/>
        <v>1.000000000000778E-3</v>
      </c>
      <c r="EL18" s="8">
        <f t="shared" si="64"/>
        <v>1.000000000000778E-3</v>
      </c>
      <c r="EM18" s="9"/>
      <c r="EN18" s="9"/>
      <c r="EO18" s="9"/>
      <c r="EP18" s="8">
        <f t="shared" si="65"/>
        <v>0</v>
      </c>
      <c r="EQ18" s="8">
        <f t="shared" si="66"/>
        <v>1.000000000000778E-3</v>
      </c>
      <c r="ER18" s="8">
        <f t="shared" si="67"/>
        <v>1.000000000000778E-3</v>
      </c>
      <c r="ES18" s="9"/>
      <c r="ET18" s="9"/>
      <c r="EU18" s="9"/>
      <c r="EV18" s="8">
        <f t="shared" si="68"/>
        <v>0</v>
      </c>
      <c r="EW18" s="8">
        <f t="shared" si="69"/>
        <v>1.000000000000778E-3</v>
      </c>
      <c r="EX18" s="8">
        <f t="shared" si="70"/>
        <v>1.000000000000778E-3</v>
      </c>
      <c r="EY18" s="9"/>
      <c r="EZ18" s="9"/>
      <c r="FA18" s="9"/>
      <c r="FB18" s="8">
        <f t="shared" si="71"/>
        <v>0</v>
      </c>
      <c r="FC18" s="8">
        <f t="shared" si="72"/>
        <v>1.000000000000778E-3</v>
      </c>
      <c r="FD18" s="8">
        <f t="shared" si="73"/>
        <v>1.000000000000778E-3</v>
      </c>
      <c r="FE18" s="9"/>
      <c r="FF18" s="9"/>
      <c r="FG18" s="9"/>
      <c r="FH18" s="8">
        <f t="shared" si="74"/>
        <v>0</v>
      </c>
      <c r="FI18" s="8">
        <f t="shared" si="75"/>
        <v>1.000000000000778E-3</v>
      </c>
      <c r="FJ18" s="8">
        <f t="shared" si="76"/>
        <v>1.000000000000778E-3</v>
      </c>
      <c r="FK18" s="9"/>
      <c r="FL18" s="9"/>
      <c r="FM18" s="9"/>
      <c r="FN18" s="8">
        <f t="shared" si="77"/>
        <v>0</v>
      </c>
      <c r="FO18" s="8">
        <f t="shared" si="78"/>
        <v>1.000000000000778E-3</v>
      </c>
      <c r="FP18" s="8">
        <f t="shared" si="79"/>
        <v>1.000000000000778E-3</v>
      </c>
      <c r="FQ18" s="9"/>
      <c r="FR18" s="9"/>
      <c r="FS18" s="9"/>
      <c r="FT18" s="8">
        <f t="shared" si="80"/>
        <v>0</v>
      </c>
      <c r="FU18" s="8">
        <f t="shared" si="81"/>
        <v>1.000000000000778E-3</v>
      </c>
      <c r="FV18" s="8">
        <f t="shared" si="82"/>
        <v>1.000000000000778E-3</v>
      </c>
      <c r="FW18" s="9"/>
      <c r="FX18" s="9"/>
      <c r="FY18" s="9"/>
      <c r="FZ18" s="8">
        <f t="shared" si="83"/>
        <v>0</v>
      </c>
      <c r="GA18" s="8">
        <f t="shared" si="84"/>
        <v>1.000000000000778E-3</v>
      </c>
      <c r="GB18" s="8">
        <f t="shared" si="85"/>
        <v>1.000000000000778E-3</v>
      </c>
      <c r="GC18" s="9"/>
      <c r="GD18" s="9"/>
      <c r="GE18" s="9"/>
      <c r="GF18" s="8">
        <f t="shared" si="86"/>
        <v>0</v>
      </c>
      <c r="GG18" s="8">
        <f t="shared" si="87"/>
        <v>1.000000000000778E-3</v>
      </c>
      <c r="GH18" s="8">
        <f t="shared" si="88"/>
        <v>1.000000000000778E-3</v>
      </c>
      <c r="GI18" s="9"/>
      <c r="GJ18" s="9"/>
      <c r="GK18" s="9"/>
      <c r="GL18" s="8">
        <f t="shared" si="89"/>
        <v>0</v>
      </c>
      <c r="GM18" s="8">
        <f t="shared" si="90"/>
        <v>1.000000000000778E-3</v>
      </c>
      <c r="GN18" s="10">
        <f t="shared" si="91"/>
        <v>0</v>
      </c>
      <c r="GO18" s="10">
        <f t="shared" si="92"/>
        <v>2.12</v>
      </c>
      <c r="GP18" s="10">
        <f t="shared" si="93"/>
        <v>0</v>
      </c>
      <c r="GQ18" s="11">
        <f t="shared" si="94"/>
        <v>2.12</v>
      </c>
      <c r="GR18" s="11">
        <f t="shared" si="95"/>
        <v>1.000000000000778E-3</v>
      </c>
    </row>
    <row r="19" spans="1:200" ht="15.75" customHeight="1" x14ac:dyDescent="0.3">
      <c r="A19" s="6">
        <v>11</v>
      </c>
      <c r="B19" s="22" t="s">
        <v>275</v>
      </c>
      <c r="C19" s="20" t="s">
        <v>188</v>
      </c>
      <c r="D19" s="24" t="s">
        <v>362</v>
      </c>
      <c r="E19" s="16" t="s">
        <v>105</v>
      </c>
      <c r="F19" s="12" t="s">
        <v>378</v>
      </c>
      <c r="G19" s="12" t="s">
        <v>74</v>
      </c>
      <c r="H19" s="7" t="s">
        <v>70</v>
      </c>
      <c r="I19" s="8">
        <v>77</v>
      </c>
      <c r="J19" s="8">
        <v>77</v>
      </c>
      <c r="K19" s="9"/>
      <c r="L19" s="9"/>
      <c r="M19" s="9"/>
      <c r="N19" s="8">
        <f t="shared" si="0"/>
        <v>0</v>
      </c>
      <c r="O19" s="8">
        <f t="shared" si="96"/>
        <v>77</v>
      </c>
      <c r="P19" s="8">
        <f t="shared" si="1"/>
        <v>77</v>
      </c>
      <c r="Q19" s="9"/>
      <c r="R19" s="9"/>
      <c r="S19" s="9"/>
      <c r="T19" s="8">
        <f t="shared" si="2"/>
        <v>0</v>
      </c>
      <c r="U19" s="8">
        <f t="shared" si="3"/>
        <v>77</v>
      </c>
      <c r="V19" s="8">
        <f t="shared" si="4"/>
        <v>77</v>
      </c>
      <c r="W19" s="29"/>
      <c r="X19" s="29"/>
      <c r="Y19" s="29"/>
      <c r="Z19" s="8">
        <f t="shared" si="5"/>
        <v>0</v>
      </c>
      <c r="AA19" s="8">
        <f t="shared" si="6"/>
        <v>77</v>
      </c>
      <c r="AB19" s="8">
        <f t="shared" si="7"/>
        <v>77</v>
      </c>
      <c r="AC19" s="29"/>
      <c r="AD19" s="29"/>
      <c r="AE19" s="29"/>
      <c r="AF19" s="8">
        <f t="shared" si="8"/>
        <v>0</v>
      </c>
      <c r="AG19" s="8">
        <f t="shared" si="9"/>
        <v>77</v>
      </c>
      <c r="AH19" s="8">
        <f t="shared" si="10"/>
        <v>77</v>
      </c>
      <c r="AI19" s="29"/>
      <c r="AJ19" s="29">
        <v>0.04</v>
      </c>
      <c r="AK19" s="29">
        <v>0</v>
      </c>
      <c r="AL19" s="8">
        <f t="shared" si="11"/>
        <v>0.04</v>
      </c>
      <c r="AM19" s="8">
        <f t="shared" si="12"/>
        <v>76.959999999999994</v>
      </c>
      <c r="AN19" s="8">
        <f t="shared" si="13"/>
        <v>76.959999999999994</v>
      </c>
      <c r="AO19" s="9"/>
      <c r="AP19" s="9">
        <v>3.1E-2</v>
      </c>
      <c r="AQ19" s="9">
        <v>0</v>
      </c>
      <c r="AR19" s="8">
        <f t="shared" si="14"/>
        <v>3.1E-2</v>
      </c>
      <c r="AS19" s="8">
        <f t="shared" si="15"/>
        <v>76.928999999999988</v>
      </c>
      <c r="AT19" s="8">
        <f t="shared" si="16"/>
        <v>76.928999999999988</v>
      </c>
      <c r="AU19" s="9"/>
      <c r="AV19" s="9">
        <v>0.1</v>
      </c>
      <c r="AW19" s="9">
        <v>0</v>
      </c>
      <c r="AX19" s="8">
        <f t="shared" si="17"/>
        <v>0.1</v>
      </c>
      <c r="AY19" s="8">
        <f t="shared" si="18"/>
        <v>76.828999999999994</v>
      </c>
      <c r="AZ19" s="8">
        <f t="shared" si="19"/>
        <v>76.828999999999994</v>
      </c>
      <c r="BA19" s="9"/>
      <c r="BB19" s="9"/>
      <c r="BC19" s="9"/>
      <c r="BD19" s="8">
        <f t="shared" si="20"/>
        <v>0</v>
      </c>
      <c r="BE19" s="8">
        <f t="shared" si="21"/>
        <v>76.828999999999994</v>
      </c>
      <c r="BF19" s="8">
        <f t="shared" si="22"/>
        <v>76.828999999999994</v>
      </c>
      <c r="BG19" s="9"/>
      <c r="BH19" s="9"/>
      <c r="BI19" s="9"/>
      <c r="BJ19" s="8">
        <f t="shared" si="23"/>
        <v>0</v>
      </c>
      <c r="BK19" s="8">
        <f t="shared" si="24"/>
        <v>76.828999999999994</v>
      </c>
      <c r="BL19" s="8">
        <f t="shared" si="25"/>
        <v>76.828999999999994</v>
      </c>
      <c r="BM19" s="9"/>
      <c r="BN19" s="9">
        <v>0.05</v>
      </c>
      <c r="BO19" s="9">
        <v>0</v>
      </c>
      <c r="BP19" s="8">
        <f t="shared" si="26"/>
        <v>0.05</v>
      </c>
      <c r="BQ19" s="8">
        <f t="shared" si="27"/>
        <v>76.778999999999996</v>
      </c>
      <c r="BR19" s="8">
        <f t="shared" si="28"/>
        <v>76.778999999999996</v>
      </c>
      <c r="BS19" s="9"/>
      <c r="BT19" s="9">
        <v>0.02</v>
      </c>
      <c r="BU19" s="9">
        <v>0</v>
      </c>
      <c r="BV19" s="8">
        <f t="shared" si="29"/>
        <v>0.02</v>
      </c>
      <c r="BW19" s="8">
        <f t="shared" si="30"/>
        <v>76.759</v>
      </c>
      <c r="BX19" s="8">
        <f t="shared" si="31"/>
        <v>76.759</v>
      </c>
      <c r="BY19" s="9"/>
      <c r="BZ19" s="9">
        <v>0.3</v>
      </c>
      <c r="CA19" s="9">
        <v>0</v>
      </c>
      <c r="CB19" s="8">
        <f t="shared" si="32"/>
        <v>0.3</v>
      </c>
      <c r="CC19" s="8">
        <f t="shared" si="33"/>
        <v>76.459000000000003</v>
      </c>
      <c r="CD19" s="8">
        <f t="shared" si="34"/>
        <v>76.459000000000003</v>
      </c>
      <c r="CE19" s="9"/>
      <c r="CF19" s="9">
        <v>0.155</v>
      </c>
      <c r="CG19" s="9">
        <v>0</v>
      </c>
      <c r="CH19" s="8">
        <f t="shared" si="35"/>
        <v>0.155</v>
      </c>
      <c r="CI19" s="8">
        <f t="shared" si="36"/>
        <v>76.304000000000002</v>
      </c>
      <c r="CJ19" s="8">
        <f t="shared" si="37"/>
        <v>76.304000000000002</v>
      </c>
      <c r="CK19" s="9"/>
      <c r="CL19" s="9">
        <v>0.122</v>
      </c>
      <c r="CM19" s="9">
        <v>0</v>
      </c>
      <c r="CN19" s="8">
        <f t="shared" si="38"/>
        <v>0.122</v>
      </c>
      <c r="CO19" s="8">
        <f t="shared" si="39"/>
        <v>76.182000000000002</v>
      </c>
      <c r="CP19" s="8">
        <f t="shared" si="40"/>
        <v>76.182000000000002</v>
      </c>
      <c r="CQ19" s="9"/>
      <c r="CR19" s="9"/>
      <c r="CS19" s="9"/>
      <c r="CT19" s="8">
        <f t="shared" si="41"/>
        <v>0</v>
      </c>
      <c r="CU19" s="8">
        <f t="shared" si="42"/>
        <v>76.182000000000002</v>
      </c>
      <c r="CV19" s="8">
        <f t="shared" si="43"/>
        <v>76.182000000000002</v>
      </c>
      <c r="CW19" s="9"/>
      <c r="CX19" s="9"/>
      <c r="CY19" s="9"/>
      <c r="CZ19" s="8">
        <f t="shared" si="44"/>
        <v>0</v>
      </c>
      <c r="DA19" s="8">
        <f t="shared" si="45"/>
        <v>76.182000000000002</v>
      </c>
      <c r="DB19" s="8">
        <f t="shared" si="46"/>
        <v>76.182000000000002</v>
      </c>
      <c r="DC19" s="9"/>
      <c r="DD19" s="9"/>
      <c r="DE19" s="9"/>
      <c r="DF19" s="8">
        <f t="shared" si="47"/>
        <v>0</v>
      </c>
      <c r="DG19" s="8">
        <f t="shared" si="48"/>
        <v>76.182000000000002</v>
      </c>
      <c r="DH19" s="8">
        <f t="shared" si="49"/>
        <v>76.182000000000002</v>
      </c>
      <c r="DI19" s="9"/>
      <c r="DJ19" s="9"/>
      <c r="DK19" s="9"/>
      <c r="DL19" s="8">
        <f t="shared" si="50"/>
        <v>0</v>
      </c>
      <c r="DM19" s="8">
        <f t="shared" si="51"/>
        <v>76.182000000000002</v>
      </c>
      <c r="DN19" s="8">
        <f t="shared" si="52"/>
        <v>76.182000000000002</v>
      </c>
      <c r="DO19" s="9"/>
      <c r="DP19" s="9"/>
      <c r="DQ19" s="9"/>
      <c r="DR19" s="8">
        <f t="shared" si="53"/>
        <v>0</v>
      </c>
      <c r="DS19" s="8">
        <f t="shared" si="54"/>
        <v>76.182000000000002</v>
      </c>
      <c r="DT19" s="8">
        <f t="shared" si="55"/>
        <v>76.182000000000002</v>
      </c>
      <c r="DU19" s="9"/>
      <c r="DV19" s="9"/>
      <c r="DW19" s="9"/>
      <c r="DX19" s="8">
        <f t="shared" si="56"/>
        <v>0</v>
      </c>
      <c r="DY19" s="8">
        <f t="shared" si="57"/>
        <v>76.182000000000002</v>
      </c>
      <c r="DZ19" s="8">
        <f t="shared" si="58"/>
        <v>76.182000000000002</v>
      </c>
      <c r="EA19" s="9"/>
      <c r="EB19" s="9"/>
      <c r="EC19" s="9"/>
      <c r="ED19" s="8">
        <f t="shared" si="59"/>
        <v>0</v>
      </c>
      <c r="EE19" s="8">
        <f t="shared" si="60"/>
        <v>76.182000000000002</v>
      </c>
      <c r="EF19" s="8">
        <f t="shared" si="61"/>
        <v>76.182000000000002</v>
      </c>
      <c r="EG19" s="9"/>
      <c r="EH19" s="9"/>
      <c r="EI19" s="9"/>
      <c r="EJ19" s="8">
        <f t="shared" si="62"/>
        <v>0</v>
      </c>
      <c r="EK19" s="8">
        <f t="shared" si="63"/>
        <v>76.182000000000002</v>
      </c>
      <c r="EL19" s="8">
        <f t="shared" si="64"/>
        <v>76.182000000000002</v>
      </c>
      <c r="EM19" s="9"/>
      <c r="EN19" s="9"/>
      <c r="EO19" s="9"/>
      <c r="EP19" s="8">
        <f t="shared" si="65"/>
        <v>0</v>
      </c>
      <c r="EQ19" s="8">
        <f t="shared" si="66"/>
        <v>76.182000000000002</v>
      </c>
      <c r="ER19" s="8">
        <f t="shared" si="67"/>
        <v>76.182000000000002</v>
      </c>
      <c r="ES19" s="9"/>
      <c r="ET19" s="9"/>
      <c r="EU19" s="9"/>
      <c r="EV19" s="8">
        <f t="shared" si="68"/>
        <v>0</v>
      </c>
      <c r="EW19" s="8">
        <f t="shared" si="69"/>
        <v>76.182000000000002</v>
      </c>
      <c r="EX19" s="8">
        <f t="shared" si="70"/>
        <v>76.182000000000002</v>
      </c>
      <c r="EY19" s="9"/>
      <c r="EZ19" s="9"/>
      <c r="FA19" s="9"/>
      <c r="FB19" s="8">
        <f t="shared" si="71"/>
        <v>0</v>
      </c>
      <c r="FC19" s="8">
        <f t="shared" si="72"/>
        <v>76.182000000000002</v>
      </c>
      <c r="FD19" s="8">
        <f t="shared" si="73"/>
        <v>76.182000000000002</v>
      </c>
      <c r="FE19" s="9"/>
      <c r="FF19" s="9"/>
      <c r="FG19" s="9"/>
      <c r="FH19" s="8">
        <f t="shared" si="74"/>
        <v>0</v>
      </c>
      <c r="FI19" s="8">
        <f t="shared" si="75"/>
        <v>76.182000000000002</v>
      </c>
      <c r="FJ19" s="8">
        <f t="shared" si="76"/>
        <v>76.182000000000002</v>
      </c>
      <c r="FK19" s="9"/>
      <c r="FL19" s="9"/>
      <c r="FM19" s="9"/>
      <c r="FN19" s="8">
        <f t="shared" si="77"/>
        <v>0</v>
      </c>
      <c r="FO19" s="8">
        <f t="shared" si="78"/>
        <v>76.182000000000002</v>
      </c>
      <c r="FP19" s="8">
        <f t="shared" si="79"/>
        <v>76.182000000000002</v>
      </c>
      <c r="FQ19" s="9"/>
      <c r="FR19" s="9"/>
      <c r="FS19" s="9"/>
      <c r="FT19" s="8">
        <f t="shared" si="80"/>
        <v>0</v>
      </c>
      <c r="FU19" s="8">
        <f t="shared" si="81"/>
        <v>76.182000000000002</v>
      </c>
      <c r="FV19" s="8">
        <f t="shared" si="82"/>
        <v>76.182000000000002</v>
      </c>
      <c r="FW19" s="9"/>
      <c r="FX19" s="9"/>
      <c r="FY19" s="9"/>
      <c r="FZ19" s="8">
        <f t="shared" si="83"/>
        <v>0</v>
      </c>
      <c r="GA19" s="8">
        <f t="shared" si="84"/>
        <v>76.182000000000002</v>
      </c>
      <c r="GB19" s="8">
        <f t="shared" si="85"/>
        <v>76.182000000000002</v>
      </c>
      <c r="GC19" s="9"/>
      <c r="GD19" s="9"/>
      <c r="GE19" s="9"/>
      <c r="GF19" s="8">
        <f t="shared" si="86"/>
        <v>0</v>
      </c>
      <c r="GG19" s="8">
        <f t="shared" si="87"/>
        <v>76.182000000000002</v>
      </c>
      <c r="GH19" s="8">
        <f t="shared" si="88"/>
        <v>76.182000000000002</v>
      </c>
      <c r="GI19" s="9"/>
      <c r="GJ19" s="9"/>
      <c r="GK19" s="9"/>
      <c r="GL19" s="8">
        <f t="shared" si="89"/>
        <v>0</v>
      </c>
      <c r="GM19" s="8">
        <f t="shared" si="90"/>
        <v>76.182000000000002</v>
      </c>
      <c r="GN19" s="10">
        <f t="shared" si="91"/>
        <v>0</v>
      </c>
      <c r="GO19" s="10">
        <f t="shared" si="92"/>
        <v>0.81800000000000006</v>
      </c>
      <c r="GP19" s="10">
        <f t="shared" si="93"/>
        <v>0</v>
      </c>
      <c r="GQ19" s="11">
        <f t="shared" si="94"/>
        <v>0.81800000000000006</v>
      </c>
      <c r="GR19" s="11">
        <f t="shared" si="95"/>
        <v>76.182000000000002</v>
      </c>
    </row>
    <row r="20" spans="1:200" ht="15.75" customHeight="1" x14ac:dyDescent="0.3">
      <c r="A20" s="6">
        <v>12</v>
      </c>
      <c r="B20" s="22" t="s">
        <v>276</v>
      </c>
      <c r="C20" s="20" t="s">
        <v>189</v>
      </c>
      <c r="D20" s="24" t="s">
        <v>362</v>
      </c>
      <c r="E20" s="16" t="s">
        <v>100</v>
      </c>
      <c r="F20" s="12" t="s">
        <v>375</v>
      </c>
      <c r="G20" s="12" t="s">
        <v>71</v>
      </c>
      <c r="H20" s="7" t="s">
        <v>70</v>
      </c>
      <c r="I20" s="8">
        <v>8.6999999999999993</v>
      </c>
      <c r="J20" s="8">
        <v>8.6999999999999993</v>
      </c>
      <c r="K20" s="9"/>
      <c r="L20" s="9"/>
      <c r="M20" s="9"/>
      <c r="N20" s="8">
        <f t="shared" si="0"/>
        <v>0</v>
      </c>
      <c r="O20" s="8">
        <f t="shared" si="96"/>
        <v>8.6999999999999993</v>
      </c>
      <c r="P20" s="8">
        <f t="shared" si="1"/>
        <v>8.6999999999999993</v>
      </c>
      <c r="Q20" s="9"/>
      <c r="R20" s="9"/>
      <c r="S20" s="9"/>
      <c r="T20" s="8">
        <f t="shared" si="2"/>
        <v>0</v>
      </c>
      <c r="U20" s="8">
        <f t="shared" si="3"/>
        <v>8.6999999999999993</v>
      </c>
      <c r="V20" s="8">
        <f t="shared" si="4"/>
        <v>8.6999999999999993</v>
      </c>
      <c r="W20" s="29"/>
      <c r="X20" s="29"/>
      <c r="Y20" s="29"/>
      <c r="Z20" s="8">
        <f t="shared" si="5"/>
        <v>0</v>
      </c>
      <c r="AA20" s="8">
        <f t="shared" si="6"/>
        <v>8.6999999999999993</v>
      </c>
      <c r="AB20" s="8">
        <f t="shared" si="7"/>
        <v>8.6999999999999993</v>
      </c>
      <c r="AC20" s="29"/>
      <c r="AD20" s="29"/>
      <c r="AE20" s="29"/>
      <c r="AF20" s="8">
        <f t="shared" si="8"/>
        <v>0</v>
      </c>
      <c r="AG20" s="8">
        <f t="shared" si="9"/>
        <v>8.6999999999999993</v>
      </c>
      <c r="AH20" s="8">
        <f t="shared" si="10"/>
        <v>8.6999999999999993</v>
      </c>
      <c r="AI20" s="29"/>
      <c r="AJ20" s="29"/>
      <c r="AK20" s="29"/>
      <c r="AL20" s="8">
        <f t="shared" si="11"/>
        <v>0</v>
      </c>
      <c r="AM20" s="8">
        <f t="shared" si="12"/>
        <v>8.6999999999999993</v>
      </c>
      <c r="AN20" s="8">
        <f t="shared" si="13"/>
        <v>8.6999999999999993</v>
      </c>
      <c r="AO20" s="9"/>
      <c r="AP20" s="9"/>
      <c r="AQ20" s="9"/>
      <c r="AR20" s="8">
        <f t="shared" si="14"/>
        <v>0</v>
      </c>
      <c r="AS20" s="8">
        <f t="shared" si="15"/>
        <v>8.6999999999999993</v>
      </c>
      <c r="AT20" s="8">
        <f t="shared" si="16"/>
        <v>8.6999999999999993</v>
      </c>
      <c r="AU20" s="9"/>
      <c r="AV20" s="9"/>
      <c r="AW20" s="9"/>
      <c r="AX20" s="8">
        <f t="shared" si="17"/>
        <v>0</v>
      </c>
      <c r="AY20" s="8">
        <f t="shared" si="18"/>
        <v>8.6999999999999993</v>
      </c>
      <c r="AZ20" s="8">
        <f t="shared" si="19"/>
        <v>8.6999999999999993</v>
      </c>
      <c r="BA20" s="9"/>
      <c r="BB20" s="9"/>
      <c r="BC20" s="9"/>
      <c r="BD20" s="8">
        <f t="shared" si="20"/>
        <v>0</v>
      </c>
      <c r="BE20" s="8">
        <f t="shared" si="21"/>
        <v>8.6999999999999993</v>
      </c>
      <c r="BF20" s="8">
        <f t="shared" si="22"/>
        <v>8.6999999999999993</v>
      </c>
      <c r="BG20" s="9"/>
      <c r="BH20" s="9"/>
      <c r="BI20" s="9"/>
      <c r="BJ20" s="8">
        <f t="shared" si="23"/>
        <v>0</v>
      </c>
      <c r="BK20" s="8">
        <f t="shared" si="24"/>
        <v>8.6999999999999993</v>
      </c>
      <c r="BL20" s="8">
        <f t="shared" si="25"/>
        <v>8.6999999999999993</v>
      </c>
      <c r="BM20" s="9"/>
      <c r="BN20" s="9"/>
      <c r="BO20" s="9"/>
      <c r="BP20" s="8">
        <f t="shared" si="26"/>
        <v>0</v>
      </c>
      <c r="BQ20" s="8">
        <f t="shared" si="27"/>
        <v>8.6999999999999993</v>
      </c>
      <c r="BR20" s="8">
        <f t="shared" si="28"/>
        <v>8.6999999999999993</v>
      </c>
      <c r="BS20" s="9"/>
      <c r="BT20" s="9"/>
      <c r="BU20" s="9"/>
      <c r="BV20" s="8">
        <f t="shared" si="29"/>
        <v>0</v>
      </c>
      <c r="BW20" s="8">
        <f t="shared" si="30"/>
        <v>8.6999999999999993</v>
      </c>
      <c r="BX20" s="8">
        <f t="shared" si="31"/>
        <v>8.6999999999999993</v>
      </c>
      <c r="BY20" s="9"/>
      <c r="BZ20" s="9"/>
      <c r="CA20" s="9"/>
      <c r="CB20" s="8">
        <f t="shared" si="32"/>
        <v>0</v>
      </c>
      <c r="CC20" s="8">
        <f t="shared" si="33"/>
        <v>8.6999999999999993</v>
      </c>
      <c r="CD20" s="8">
        <f t="shared" si="34"/>
        <v>8.6999999999999993</v>
      </c>
      <c r="CE20" s="9"/>
      <c r="CF20" s="9"/>
      <c r="CG20" s="9"/>
      <c r="CH20" s="8">
        <f t="shared" si="35"/>
        <v>0</v>
      </c>
      <c r="CI20" s="8">
        <f t="shared" si="36"/>
        <v>8.6999999999999993</v>
      </c>
      <c r="CJ20" s="8">
        <f t="shared" si="37"/>
        <v>8.6999999999999993</v>
      </c>
      <c r="CK20" s="9"/>
      <c r="CL20" s="9"/>
      <c r="CM20" s="9"/>
      <c r="CN20" s="8">
        <f t="shared" si="38"/>
        <v>0</v>
      </c>
      <c r="CO20" s="8">
        <f t="shared" si="39"/>
        <v>8.6999999999999993</v>
      </c>
      <c r="CP20" s="8">
        <f t="shared" si="40"/>
        <v>8.6999999999999993</v>
      </c>
      <c r="CQ20" s="9"/>
      <c r="CR20" s="9"/>
      <c r="CS20" s="9"/>
      <c r="CT20" s="8">
        <f t="shared" si="41"/>
        <v>0</v>
      </c>
      <c r="CU20" s="8">
        <f t="shared" si="42"/>
        <v>8.6999999999999993</v>
      </c>
      <c r="CV20" s="8">
        <f t="shared" si="43"/>
        <v>8.6999999999999993</v>
      </c>
      <c r="CW20" s="9"/>
      <c r="CX20" s="9"/>
      <c r="CY20" s="9"/>
      <c r="CZ20" s="8">
        <f t="shared" si="44"/>
        <v>0</v>
      </c>
      <c r="DA20" s="8">
        <f t="shared" si="45"/>
        <v>8.6999999999999993</v>
      </c>
      <c r="DB20" s="8">
        <f t="shared" si="46"/>
        <v>8.6999999999999993</v>
      </c>
      <c r="DC20" s="9"/>
      <c r="DD20" s="9"/>
      <c r="DE20" s="9"/>
      <c r="DF20" s="8">
        <f t="shared" si="47"/>
        <v>0</v>
      </c>
      <c r="DG20" s="8">
        <f t="shared" si="48"/>
        <v>8.6999999999999993</v>
      </c>
      <c r="DH20" s="8">
        <f t="shared" si="49"/>
        <v>8.6999999999999993</v>
      </c>
      <c r="DI20" s="9"/>
      <c r="DJ20" s="9"/>
      <c r="DK20" s="9"/>
      <c r="DL20" s="8">
        <f t="shared" si="50"/>
        <v>0</v>
      </c>
      <c r="DM20" s="8">
        <f t="shared" si="51"/>
        <v>8.6999999999999993</v>
      </c>
      <c r="DN20" s="8">
        <f t="shared" si="52"/>
        <v>8.6999999999999993</v>
      </c>
      <c r="DO20" s="9"/>
      <c r="DP20" s="9"/>
      <c r="DQ20" s="9"/>
      <c r="DR20" s="8">
        <f t="shared" si="53"/>
        <v>0</v>
      </c>
      <c r="DS20" s="8">
        <f t="shared" si="54"/>
        <v>8.6999999999999993</v>
      </c>
      <c r="DT20" s="8">
        <f t="shared" si="55"/>
        <v>8.6999999999999993</v>
      </c>
      <c r="DU20" s="9"/>
      <c r="DV20" s="9"/>
      <c r="DW20" s="9"/>
      <c r="DX20" s="8">
        <f t="shared" si="56"/>
        <v>0</v>
      </c>
      <c r="DY20" s="8">
        <f t="shared" si="57"/>
        <v>8.6999999999999993</v>
      </c>
      <c r="DZ20" s="8">
        <f t="shared" si="58"/>
        <v>8.6999999999999993</v>
      </c>
      <c r="EA20" s="9"/>
      <c r="EB20" s="9"/>
      <c r="EC20" s="9"/>
      <c r="ED20" s="8">
        <f t="shared" si="59"/>
        <v>0</v>
      </c>
      <c r="EE20" s="8">
        <f t="shared" si="60"/>
        <v>8.6999999999999993</v>
      </c>
      <c r="EF20" s="8">
        <f t="shared" si="61"/>
        <v>8.6999999999999993</v>
      </c>
      <c r="EG20" s="9"/>
      <c r="EH20" s="9"/>
      <c r="EI20" s="9"/>
      <c r="EJ20" s="8">
        <f t="shared" si="62"/>
        <v>0</v>
      </c>
      <c r="EK20" s="8">
        <f t="shared" si="63"/>
        <v>8.6999999999999993</v>
      </c>
      <c r="EL20" s="8">
        <f t="shared" si="64"/>
        <v>8.6999999999999993</v>
      </c>
      <c r="EM20" s="9"/>
      <c r="EN20" s="9"/>
      <c r="EO20" s="9"/>
      <c r="EP20" s="8">
        <f t="shared" si="65"/>
        <v>0</v>
      </c>
      <c r="EQ20" s="8">
        <f t="shared" si="66"/>
        <v>8.6999999999999993</v>
      </c>
      <c r="ER20" s="8">
        <f t="shared" si="67"/>
        <v>8.6999999999999993</v>
      </c>
      <c r="ES20" s="9"/>
      <c r="ET20" s="9"/>
      <c r="EU20" s="9"/>
      <c r="EV20" s="8">
        <f t="shared" si="68"/>
        <v>0</v>
      </c>
      <c r="EW20" s="8">
        <f t="shared" si="69"/>
        <v>8.6999999999999993</v>
      </c>
      <c r="EX20" s="8">
        <f t="shared" si="70"/>
        <v>8.6999999999999993</v>
      </c>
      <c r="EY20" s="9"/>
      <c r="EZ20" s="9"/>
      <c r="FA20" s="9"/>
      <c r="FB20" s="8">
        <f t="shared" si="71"/>
        <v>0</v>
      </c>
      <c r="FC20" s="8">
        <f t="shared" si="72"/>
        <v>8.6999999999999993</v>
      </c>
      <c r="FD20" s="8">
        <f t="shared" si="73"/>
        <v>8.6999999999999993</v>
      </c>
      <c r="FE20" s="9"/>
      <c r="FF20" s="9"/>
      <c r="FG20" s="9"/>
      <c r="FH20" s="8">
        <f t="shared" si="74"/>
        <v>0</v>
      </c>
      <c r="FI20" s="8">
        <f t="shared" si="75"/>
        <v>8.6999999999999993</v>
      </c>
      <c r="FJ20" s="8">
        <f t="shared" si="76"/>
        <v>8.6999999999999993</v>
      </c>
      <c r="FK20" s="9"/>
      <c r="FL20" s="9"/>
      <c r="FM20" s="9"/>
      <c r="FN20" s="8">
        <f t="shared" si="77"/>
        <v>0</v>
      </c>
      <c r="FO20" s="8">
        <f t="shared" si="78"/>
        <v>8.6999999999999993</v>
      </c>
      <c r="FP20" s="8">
        <f t="shared" si="79"/>
        <v>8.6999999999999993</v>
      </c>
      <c r="FQ20" s="9"/>
      <c r="FR20" s="9"/>
      <c r="FS20" s="9"/>
      <c r="FT20" s="8">
        <f t="shared" si="80"/>
        <v>0</v>
      </c>
      <c r="FU20" s="8">
        <f t="shared" si="81"/>
        <v>8.6999999999999993</v>
      </c>
      <c r="FV20" s="8">
        <f t="shared" si="82"/>
        <v>8.6999999999999993</v>
      </c>
      <c r="FW20" s="9"/>
      <c r="FX20" s="9"/>
      <c r="FY20" s="9"/>
      <c r="FZ20" s="8">
        <f t="shared" si="83"/>
        <v>0</v>
      </c>
      <c r="GA20" s="8">
        <f t="shared" si="84"/>
        <v>8.6999999999999993</v>
      </c>
      <c r="GB20" s="8">
        <f t="shared" si="85"/>
        <v>8.6999999999999993</v>
      </c>
      <c r="GC20" s="9"/>
      <c r="GD20" s="9"/>
      <c r="GE20" s="9"/>
      <c r="GF20" s="8">
        <f t="shared" si="86"/>
        <v>0</v>
      </c>
      <c r="GG20" s="8">
        <f t="shared" si="87"/>
        <v>8.6999999999999993</v>
      </c>
      <c r="GH20" s="8">
        <f t="shared" si="88"/>
        <v>8.6999999999999993</v>
      </c>
      <c r="GI20" s="9"/>
      <c r="GJ20" s="9"/>
      <c r="GK20" s="9"/>
      <c r="GL20" s="8">
        <f t="shared" si="89"/>
        <v>0</v>
      </c>
      <c r="GM20" s="8">
        <f t="shared" si="90"/>
        <v>8.6999999999999993</v>
      </c>
      <c r="GN20" s="10">
        <f t="shared" si="91"/>
        <v>0</v>
      </c>
      <c r="GO20" s="10">
        <f t="shared" si="92"/>
        <v>0</v>
      </c>
      <c r="GP20" s="10">
        <f t="shared" si="93"/>
        <v>0</v>
      </c>
      <c r="GQ20" s="11">
        <f t="shared" si="94"/>
        <v>0</v>
      </c>
      <c r="GR20" s="11">
        <f t="shared" si="95"/>
        <v>8.6999999999999993</v>
      </c>
    </row>
    <row r="21" spans="1:200" ht="15.75" customHeight="1" x14ac:dyDescent="0.3">
      <c r="A21" s="6">
        <v>13</v>
      </c>
      <c r="B21" s="22" t="s">
        <v>277</v>
      </c>
      <c r="C21" s="20" t="s">
        <v>189</v>
      </c>
      <c r="D21" s="24" t="s">
        <v>362</v>
      </c>
      <c r="E21" s="16" t="s">
        <v>106</v>
      </c>
      <c r="F21" s="12" t="s">
        <v>375</v>
      </c>
      <c r="G21" s="12" t="s">
        <v>71</v>
      </c>
      <c r="H21" s="7" t="s">
        <v>70</v>
      </c>
      <c r="I21" s="8">
        <v>10</v>
      </c>
      <c r="J21" s="8">
        <v>10</v>
      </c>
      <c r="K21" s="9"/>
      <c r="L21" s="9"/>
      <c r="M21" s="9"/>
      <c r="N21" s="8">
        <f t="shared" si="0"/>
        <v>0</v>
      </c>
      <c r="O21" s="8">
        <f t="shared" si="96"/>
        <v>10</v>
      </c>
      <c r="P21" s="8">
        <f t="shared" si="1"/>
        <v>10</v>
      </c>
      <c r="Q21" s="9"/>
      <c r="R21" s="9"/>
      <c r="S21" s="9"/>
      <c r="T21" s="8">
        <f t="shared" si="2"/>
        <v>0</v>
      </c>
      <c r="U21" s="8">
        <f t="shared" si="3"/>
        <v>10</v>
      </c>
      <c r="V21" s="8">
        <f t="shared" si="4"/>
        <v>10</v>
      </c>
      <c r="W21" s="29"/>
      <c r="X21" s="29"/>
      <c r="Y21" s="29"/>
      <c r="Z21" s="8">
        <f t="shared" si="5"/>
        <v>0</v>
      </c>
      <c r="AA21" s="8">
        <f t="shared" si="6"/>
        <v>10</v>
      </c>
      <c r="AB21" s="8">
        <f t="shared" si="7"/>
        <v>10</v>
      </c>
      <c r="AC21" s="29"/>
      <c r="AD21" s="29"/>
      <c r="AE21" s="29"/>
      <c r="AF21" s="8">
        <f t="shared" si="8"/>
        <v>0</v>
      </c>
      <c r="AG21" s="8">
        <f t="shared" si="9"/>
        <v>10</v>
      </c>
      <c r="AH21" s="8">
        <f t="shared" si="10"/>
        <v>10</v>
      </c>
      <c r="AI21" s="29"/>
      <c r="AJ21" s="29"/>
      <c r="AK21" s="29"/>
      <c r="AL21" s="8">
        <f t="shared" si="11"/>
        <v>0</v>
      </c>
      <c r="AM21" s="8">
        <f t="shared" si="12"/>
        <v>10</v>
      </c>
      <c r="AN21" s="8">
        <f t="shared" si="13"/>
        <v>10</v>
      </c>
      <c r="AO21" s="9"/>
      <c r="AP21" s="9"/>
      <c r="AQ21" s="9"/>
      <c r="AR21" s="8">
        <f t="shared" si="14"/>
        <v>0</v>
      </c>
      <c r="AS21" s="8">
        <f t="shared" si="15"/>
        <v>10</v>
      </c>
      <c r="AT21" s="8">
        <f t="shared" si="16"/>
        <v>10</v>
      </c>
      <c r="AU21" s="9"/>
      <c r="AV21" s="9"/>
      <c r="AW21" s="9"/>
      <c r="AX21" s="8">
        <f t="shared" si="17"/>
        <v>0</v>
      </c>
      <c r="AY21" s="8">
        <f t="shared" si="18"/>
        <v>10</v>
      </c>
      <c r="AZ21" s="8">
        <f t="shared" si="19"/>
        <v>10</v>
      </c>
      <c r="BA21" s="9"/>
      <c r="BB21" s="9"/>
      <c r="BC21" s="9"/>
      <c r="BD21" s="8">
        <f t="shared" si="20"/>
        <v>0</v>
      </c>
      <c r="BE21" s="8">
        <f t="shared" si="21"/>
        <v>10</v>
      </c>
      <c r="BF21" s="8">
        <f t="shared" si="22"/>
        <v>10</v>
      </c>
      <c r="BG21" s="9"/>
      <c r="BH21" s="9"/>
      <c r="BI21" s="9"/>
      <c r="BJ21" s="8">
        <f t="shared" si="23"/>
        <v>0</v>
      </c>
      <c r="BK21" s="8">
        <f t="shared" si="24"/>
        <v>10</v>
      </c>
      <c r="BL21" s="8">
        <f t="shared" si="25"/>
        <v>10</v>
      </c>
      <c r="BM21" s="9"/>
      <c r="BN21" s="9"/>
      <c r="BO21" s="9"/>
      <c r="BP21" s="8">
        <f t="shared" si="26"/>
        <v>0</v>
      </c>
      <c r="BQ21" s="8">
        <f t="shared" si="27"/>
        <v>10</v>
      </c>
      <c r="BR21" s="8">
        <f t="shared" si="28"/>
        <v>10</v>
      </c>
      <c r="BS21" s="9"/>
      <c r="BT21" s="9"/>
      <c r="BU21" s="9"/>
      <c r="BV21" s="8">
        <f t="shared" si="29"/>
        <v>0</v>
      </c>
      <c r="BW21" s="8">
        <f t="shared" si="30"/>
        <v>10</v>
      </c>
      <c r="BX21" s="8">
        <f t="shared" si="31"/>
        <v>10</v>
      </c>
      <c r="BY21" s="9"/>
      <c r="BZ21" s="9"/>
      <c r="CA21" s="9"/>
      <c r="CB21" s="8">
        <f t="shared" si="32"/>
        <v>0</v>
      </c>
      <c r="CC21" s="8">
        <f t="shared" si="33"/>
        <v>10</v>
      </c>
      <c r="CD21" s="8">
        <f t="shared" si="34"/>
        <v>10</v>
      </c>
      <c r="CE21" s="9"/>
      <c r="CF21" s="9"/>
      <c r="CG21" s="9"/>
      <c r="CH21" s="8">
        <f t="shared" si="35"/>
        <v>0</v>
      </c>
      <c r="CI21" s="8">
        <f t="shared" si="36"/>
        <v>10</v>
      </c>
      <c r="CJ21" s="8">
        <f t="shared" si="37"/>
        <v>10</v>
      </c>
      <c r="CK21" s="9"/>
      <c r="CL21" s="9"/>
      <c r="CM21" s="9"/>
      <c r="CN21" s="8">
        <f t="shared" si="38"/>
        <v>0</v>
      </c>
      <c r="CO21" s="8">
        <f t="shared" si="39"/>
        <v>10</v>
      </c>
      <c r="CP21" s="8">
        <f t="shared" si="40"/>
        <v>10</v>
      </c>
      <c r="CQ21" s="9"/>
      <c r="CR21" s="9"/>
      <c r="CS21" s="9"/>
      <c r="CT21" s="8">
        <f t="shared" si="41"/>
        <v>0</v>
      </c>
      <c r="CU21" s="8">
        <f t="shared" si="42"/>
        <v>10</v>
      </c>
      <c r="CV21" s="8">
        <f t="shared" si="43"/>
        <v>10</v>
      </c>
      <c r="CW21" s="9"/>
      <c r="CX21" s="9"/>
      <c r="CY21" s="9"/>
      <c r="CZ21" s="8">
        <f t="shared" si="44"/>
        <v>0</v>
      </c>
      <c r="DA21" s="8">
        <f t="shared" si="45"/>
        <v>10</v>
      </c>
      <c r="DB21" s="8">
        <f t="shared" si="46"/>
        <v>10</v>
      </c>
      <c r="DC21" s="9"/>
      <c r="DD21" s="9"/>
      <c r="DE21" s="9"/>
      <c r="DF21" s="8">
        <f t="shared" si="47"/>
        <v>0</v>
      </c>
      <c r="DG21" s="8">
        <f t="shared" si="48"/>
        <v>10</v>
      </c>
      <c r="DH21" s="8">
        <f t="shared" si="49"/>
        <v>10</v>
      </c>
      <c r="DI21" s="9"/>
      <c r="DJ21" s="9"/>
      <c r="DK21" s="9"/>
      <c r="DL21" s="8">
        <f t="shared" si="50"/>
        <v>0</v>
      </c>
      <c r="DM21" s="8">
        <f t="shared" si="51"/>
        <v>10</v>
      </c>
      <c r="DN21" s="8">
        <f t="shared" si="52"/>
        <v>10</v>
      </c>
      <c r="DO21" s="9"/>
      <c r="DP21" s="9"/>
      <c r="DQ21" s="9"/>
      <c r="DR21" s="8">
        <f t="shared" si="53"/>
        <v>0</v>
      </c>
      <c r="DS21" s="8">
        <f t="shared" si="54"/>
        <v>10</v>
      </c>
      <c r="DT21" s="8">
        <f t="shared" si="55"/>
        <v>10</v>
      </c>
      <c r="DU21" s="9"/>
      <c r="DV21" s="9"/>
      <c r="DW21" s="9"/>
      <c r="DX21" s="8">
        <f t="shared" si="56"/>
        <v>0</v>
      </c>
      <c r="DY21" s="8">
        <f t="shared" si="57"/>
        <v>10</v>
      </c>
      <c r="DZ21" s="8">
        <f t="shared" si="58"/>
        <v>10</v>
      </c>
      <c r="EA21" s="9"/>
      <c r="EB21" s="9"/>
      <c r="EC21" s="9"/>
      <c r="ED21" s="8">
        <f t="shared" si="59"/>
        <v>0</v>
      </c>
      <c r="EE21" s="8">
        <f t="shared" si="60"/>
        <v>10</v>
      </c>
      <c r="EF21" s="8">
        <f t="shared" si="61"/>
        <v>10</v>
      </c>
      <c r="EG21" s="9"/>
      <c r="EH21" s="9"/>
      <c r="EI21" s="9"/>
      <c r="EJ21" s="8">
        <f t="shared" si="62"/>
        <v>0</v>
      </c>
      <c r="EK21" s="8">
        <f t="shared" si="63"/>
        <v>10</v>
      </c>
      <c r="EL21" s="8">
        <f t="shared" si="64"/>
        <v>10</v>
      </c>
      <c r="EM21" s="9"/>
      <c r="EN21" s="9"/>
      <c r="EO21" s="9"/>
      <c r="EP21" s="8">
        <f t="shared" si="65"/>
        <v>0</v>
      </c>
      <c r="EQ21" s="8">
        <f t="shared" si="66"/>
        <v>10</v>
      </c>
      <c r="ER21" s="8">
        <f t="shared" si="67"/>
        <v>10</v>
      </c>
      <c r="ES21" s="9"/>
      <c r="ET21" s="9"/>
      <c r="EU21" s="9"/>
      <c r="EV21" s="8">
        <f t="shared" si="68"/>
        <v>0</v>
      </c>
      <c r="EW21" s="8">
        <f t="shared" si="69"/>
        <v>10</v>
      </c>
      <c r="EX21" s="8">
        <f t="shared" si="70"/>
        <v>10</v>
      </c>
      <c r="EY21" s="9"/>
      <c r="EZ21" s="9"/>
      <c r="FA21" s="9"/>
      <c r="FB21" s="8">
        <f t="shared" si="71"/>
        <v>0</v>
      </c>
      <c r="FC21" s="8">
        <f t="shared" si="72"/>
        <v>10</v>
      </c>
      <c r="FD21" s="8">
        <f t="shared" si="73"/>
        <v>10</v>
      </c>
      <c r="FE21" s="9"/>
      <c r="FF21" s="9"/>
      <c r="FG21" s="9"/>
      <c r="FH21" s="8">
        <f t="shared" si="74"/>
        <v>0</v>
      </c>
      <c r="FI21" s="8">
        <f t="shared" si="75"/>
        <v>10</v>
      </c>
      <c r="FJ21" s="8">
        <f t="shared" si="76"/>
        <v>10</v>
      </c>
      <c r="FK21" s="9"/>
      <c r="FL21" s="9"/>
      <c r="FM21" s="9"/>
      <c r="FN21" s="8">
        <f t="shared" si="77"/>
        <v>0</v>
      </c>
      <c r="FO21" s="8">
        <f t="shared" si="78"/>
        <v>10</v>
      </c>
      <c r="FP21" s="8">
        <f t="shared" si="79"/>
        <v>10</v>
      </c>
      <c r="FQ21" s="9"/>
      <c r="FR21" s="9"/>
      <c r="FS21" s="9"/>
      <c r="FT21" s="8">
        <f t="shared" si="80"/>
        <v>0</v>
      </c>
      <c r="FU21" s="8">
        <f t="shared" si="81"/>
        <v>10</v>
      </c>
      <c r="FV21" s="8">
        <f t="shared" si="82"/>
        <v>10</v>
      </c>
      <c r="FW21" s="9"/>
      <c r="FX21" s="9"/>
      <c r="FY21" s="9"/>
      <c r="FZ21" s="8">
        <f t="shared" si="83"/>
        <v>0</v>
      </c>
      <c r="GA21" s="8">
        <f t="shared" si="84"/>
        <v>10</v>
      </c>
      <c r="GB21" s="8">
        <f t="shared" si="85"/>
        <v>10</v>
      </c>
      <c r="GC21" s="9"/>
      <c r="GD21" s="9"/>
      <c r="GE21" s="9"/>
      <c r="GF21" s="8">
        <f t="shared" si="86"/>
        <v>0</v>
      </c>
      <c r="GG21" s="8">
        <f t="shared" si="87"/>
        <v>10</v>
      </c>
      <c r="GH21" s="8">
        <f t="shared" si="88"/>
        <v>10</v>
      </c>
      <c r="GI21" s="9"/>
      <c r="GJ21" s="9"/>
      <c r="GK21" s="9"/>
      <c r="GL21" s="8">
        <f t="shared" si="89"/>
        <v>0</v>
      </c>
      <c r="GM21" s="8">
        <f t="shared" si="90"/>
        <v>10</v>
      </c>
      <c r="GN21" s="10">
        <f t="shared" si="91"/>
        <v>0</v>
      </c>
      <c r="GO21" s="10">
        <f t="shared" si="92"/>
        <v>0</v>
      </c>
      <c r="GP21" s="10">
        <f t="shared" si="93"/>
        <v>0</v>
      </c>
      <c r="GQ21" s="11">
        <f t="shared" si="94"/>
        <v>0</v>
      </c>
      <c r="GR21" s="11">
        <f t="shared" si="95"/>
        <v>10</v>
      </c>
    </row>
    <row r="22" spans="1:200" ht="15.75" customHeight="1" x14ac:dyDescent="0.3">
      <c r="A22" s="6">
        <v>14</v>
      </c>
      <c r="B22" s="22" t="s">
        <v>278</v>
      </c>
      <c r="C22" s="20" t="s">
        <v>190</v>
      </c>
      <c r="D22" s="24" t="s">
        <v>362</v>
      </c>
      <c r="E22" s="16" t="s">
        <v>107</v>
      </c>
      <c r="F22" s="12" t="s">
        <v>379</v>
      </c>
      <c r="G22" s="12" t="s">
        <v>75</v>
      </c>
      <c r="H22" s="7" t="s">
        <v>70</v>
      </c>
      <c r="I22" s="8">
        <v>45</v>
      </c>
      <c r="J22" s="8">
        <v>45</v>
      </c>
      <c r="K22" s="9"/>
      <c r="L22" s="9"/>
      <c r="M22" s="9"/>
      <c r="N22" s="8">
        <f t="shared" si="0"/>
        <v>0</v>
      </c>
      <c r="O22" s="8">
        <f t="shared" si="96"/>
        <v>45</v>
      </c>
      <c r="P22" s="8">
        <f t="shared" si="1"/>
        <v>45</v>
      </c>
      <c r="Q22" s="9"/>
      <c r="R22" s="9"/>
      <c r="S22" s="9"/>
      <c r="T22" s="8">
        <f t="shared" si="2"/>
        <v>0</v>
      </c>
      <c r="U22" s="8">
        <f t="shared" si="3"/>
        <v>45</v>
      </c>
      <c r="V22" s="8">
        <f t="shared" si="4"/>
        <v>45</v>
      </c>
      <c r="W22" s="29"/>
      <c r="X22" s="29"/>
      <c r="Y22" s="29"/>
      <c r="Z22" s="8">
        <f t="shared" si="5"/>
        <v>0</v>
      </c>
      <c r="AA22" s="8">
        <f t="shared" si="6"/>
        <v>45</v>
      </c>
      <c r="AB22" s="8">
        <f t="shared" si="7"/>
        <v>45</v>
      </c>
      <c r="AC22" s="29"/>
      <c r="AD22" s="29"/>
      <c r="AE22" s="29"/>
      <c r="AF22" s="8">
        <f t="shared" si="8"/>
        <v>0</v>
      </c>
      <c r="AG22" s="8">
        <f t="shared" si="9"/>
        <v>45</v>
      </c>
      <c r="AH22" s="8">
        <f t="shared" si="10"/>
        <v>45</v>
      </c>
      <c r="AI22" s="29"/>
      <c r="AJ22" s="29"/>
      <c r="AK22" s="29"/>
      <c r="AL22" s="8">
        <f t="shared" si="11"/>
        <v>0</v>
      </c>
      <c r="AM22" s="8">
        <f t="shared" si="12"/>
        <v>45</v>
      </c>
      <c r="AN22" s="8">
        <f t="shared" si="13"/>
        <v>45</v>
      </c>
      <c r="AO22" s="9"/>
      <c r="AP22" s="9"/>
      <c r="AQ22" s="9"/>
      <c r="AR22" s="8">
        <f t="shared" si="14"/>
        <v>0</v>
      </c>
      <c r="AS22" s="8">
        <f t="shared" si="15"/>
        <v>45</v>
      </c>
      <c r="AT22" s="8">
        <f t="shared" si="16"/>
        <v>45</v>
      </c>
      <c r="AU22" s="9"/>
      <c r="AV22" s="9"/>
      <c r="AW22" s="9"/>
      <c r="AX22" s="8">
        <f t="shared" si="17"/>
        <v>0</v>
      </c>
      <c r="AY22" s="8">
        <f t="shared" si="18"/>
        <v>45</v>
      </c>
      <c r="AZ22" s="8">
        <f t="shared" si="19"/>
        <v>45</v>
      </c>
      <c r="BA22" s="9"/>
      <c r="BB22" s="9"/>
      <c r="BC22" s="9"/>
      <c r="BD22" s="8">
        <f t="shared" si="20"/>
        <v>0</v>
      </c>
      <c r="BE22" s="8">
        <f t="shared" si="21"/>
        <v>45</v>
      </c>
      <c r="BF22" s="8">
        <f t="shared" si="22"/>
        <v>45</v>
      </c>
      <c r="BG22" s="9"/>
      <c r="BH22" s="9"/>
      <c r="BI22" s="9"/>
      <c r="BJ22" s="8">
        <f t="shared" si="23"/>
        <v>0</v>
      </c>
      <c r="BK22" s="8">
        <f t="shared" si="24"/>
        <v>45</v>
      </c>
      <c r="BL22" s="8">
        <f t="shared" si="25"/>
        <v>45</v>
      </c>
      <c r="BM22" s="9"/>
      <c r="BN22" s="9"/>
      <c r="BO22" s="9"/>
      <c r="BP22" s="8">
        <f t="shared" si="26"/>
        <v>0</v>
      </c>
      <c r="BQ22" s="8">
        <f t="shared" si="27"/>
        <v>45</v>
      </c>
      <c r="BR22" s="8">
        <f t="shared" si="28"/>
        <v>45</v>
      </c>
      <c r="BS22" s="9"/>
      <c r="BT22" s="9"/>
      <c r="BU22" s="9"/>
      <c r="BV22" s="8">
        <f t="shared" si="29"/>
        <v>0</v>
      </c>
      <c r="BW22" s="8">
        <f t="shared" si="30"/>
        <v>45</v>
      </c>
      <c r="BX22" s="8">
        <f t="shared" si="31"/>
        <v>45</v>
      </c>
      <c r="BY22" s="9"/>
      <c r="BZ22" s="9"/>
      <c r="CA22" s="9"/>
      <c r="CB22" s="8">
        <f t="shared" si="32"/>
        <v>0</v>
      </c>
      <c r="CC22" s="8">
        <f t="shared" si="33"/>
        <v>45</v>
      </c>
      <c r="CD22" s="8">
        <f t="shared" si="34"/>
        <v>45</v>
      </c>
      <c r="CE22" s="9"/>
      <c r="CF22" s="9"/>
      <c r="CG22" s="9"/>
      <c r="CH22" s="8">
        <f t="shared" si="35"/>
        <v>0</v>
      </c>
      <c r="CI22" s="8">
        <f t="shared" si="36"/>
        <v>45</v>
      </c>
      <c r="CJ22" s="8">
        <f t="shared" si="37"/>
        <v>45</v>
      </c>
      <c r="CK22" s="9"/>
      <c r="CL22" s="9"/>
      <c r="CM22" s="9"/>
      <c r="CN22" s="8">
        <f t="shared" si="38"/>
        <v>0</v>
      </c>
      <c r="CO22" s="8">
        <f t="shared" si="39"/>
        <v>45</v>
      </c>
      <c r="CP22" s="8">
        <f t="shared" si="40"/>
        <v>45</v>
      </c>
      <c r="CQ22" s="9"/>
      <c r="CR22" s="9"/>
      <c r="CS22" s="9"/>
      <c r="CT22" s="8">
        <f t="shared" si="41"/>
        <v>0</v>
      </c>
      <c r="CU22" s="8">
        <f t="shared" si="42"/>
        <v>45</v>
      </c>
      <c r="CV22" s="8">
        <f t="shared" si="43"/>
        <v>45</v>
      </c>
      <c r="CW22" s="9"/>
      <c r="CX22" s="9"/>
      <c r="CY22" s="9"/>
      <c r="CZ22" s="8">
        <f t="shared" si="44"/>
        <v>0</v>
      </c>
      <c r="DA22" s="8">
        <f t="shared" si="45"/>
        <v>45</v>
      </c>
      <c r="DB22" s="8">
        <f t="shared" si="46"/>
        <v>45</v>
      </c>
      <c r="DC22" s="9"/>
      <c r="DD22" s="9"/>
      <c r="DE22" s="9"/>
      <c r="DF22" s="8">
        <f t="shared" si="47"/>
        <v>0</v>
      </c>
      <c r="DG22" s="8">
        <f t="shared" si="48"/>
        <v>45</v>
      </c>
      <c r="DH22" s="8">
        <f t="shared" si="49"/>
        <v>45</v>
      </c>
      <c r="DI22" s="9"/>
      <c r="DJ22" s="9"/>
      <c r="DK22" s="9"/>
      <c r="DL22" s="8">
        <f t="shared" si="50"/>
        <v>0</v>
      </c>
      <c r="DM22" s="8">
        <f t="shared" si="51"/>
        <v>45</v>
      </c>
      <c r="DN22" s="8">
        <f t="shared" si="52"/>
        <v>45</v>
      </c>
      <c r="DO22" s="9"/>
      <c r="DP22" s="9"/>
      <c r="DQ22" s="9"/>
      <c r="DR22" s="8">
        <f t="shared" si="53"/>
        <v>0</v>
      </c>
      <c r="DS22" s="8">
        <f t="shared" si="54"/>
        <v>45</v>
      </c>
      <c r="DT22" s="8">
        <f t="shared" si="55"/>
        <v>45</v>
      </c>
      <c r="DU22" s="9"/>
      <c r="DV22" s="9"/>
      <c r="DW22" s="9"/>
      <c r="DX22" s="8">
        <f t="shared" si="56"/>
        <v>0</v>
      </c>
      <c r="DY22" s="8">
        <f t="shared" si="57"/>
        <v>45</v>
      </c>
      <c r="DZ22" s="8">
        <f t="shared" si="58"/>
        <v>45</v>
      </c>
      <c r="EA22" s="9"/>
      <c r="EB22" s="9"/>
      <c r="EC22" s="9"/>
      <c r="ED22" s="8">
        <f t="shared" si="59"/>
        <v>0</v>
      </c>
      <c r="EE22" s="8">
        <f t="shared" si="60"/>
        <v>45</v>
      </c>
      <c r="EF22" s="8">
        <f t="shared" si="61"/>
        <v>45</v>
      </c>
      <c r="EG22" s="9"/>
      <c r="EH22" s="9"/>
      <c r="EI22" s="9"/>
      <c r="EJ22" s="8">
        <f t="shared" si="62"/>
        <v>0</v>
      </c>
      <c r="EK22" s="8">
        <f t="shared" si="63"/>
        <v>45</v>
      </c>
      <c r="EL22" s="8">
        <f t="shared" si="64"/>
        <v>45</v>
      </c>
      <c r="EM22" s="9"/>
      <c r="EN22" s="9"/>
      <c r="EO22" s="9"/>
      <c r="EP22" s="8">
        <f t="shared" si="65"/>
        <v>0</v>
      </c>
      <c r="EQ22" s="8">
        <f t="shared" si="66"/>
        <v>45</v>
      </c>
      <c r="ER22" s="8">
        <f t="shared" si="67"/>
        <v>45</v>
      </c>
      <c r="ES22" s="9"/>
      <c r="ET22" s="9"/>
      <c r="EU22" s="9"/>
      <c r="EV22" s="8">
        <f t="shared" si="68"/>
        <v>0</v>
      </c>
      <c r="EW22" s="8">
        <f t="shared" si="69"/>
        <v>45</v>
      </c>
      <c r="EX22" s="8">
        <f t="shared" si="70"/>
        <v>45</v>
      </c>
      <c r="EY22" s="9"/>
      <c r="EZ22" s="9"/>
      <c r="FA22" s="9"/>
      <c r="FB22" s="8">
        <f t="shared" si="71"/>
        <v>0</v>
      </c>
      <c r="FC22" s="8">
        <f t="shared" si="72"/>
        <v>45</v>
      </c>
      <c r="FD22" s="8">
        <f t="shared" si="73"/>
        <v>45</v>
      </c>
      <c r="FE22" s="9"/>
      <c r="FF22" s="9"/>
      <c r="FG22" s="9"/>
      <c r="FH22" s="8">
        <f t="shared" si="74"/>
        <v>0</v>
      </c>
      <c r="FI22" s="8">
        <f t="shared" si="75"/>
        <v>45</v>
      </c>
      <c r="FJ22" s="8">
        <f t="shared" si="76"/>
        <v>45</v>
      </c>
      <c r="FK22" s="9"/>
      <c r="FL22" s="9"/>
      <c r="FM22" s="9"/>
      <c r="FN22" s="8">
        <f t="shared" si="77"/>
        <v>0</v>
      </c>
      <c r="FO22" s="8">
        <f t="shared" si="78"/>
        <v>45</v>
      </c>
      <c r="FP22" s="8">
        <f t="shared" si="79"/>
        <v>45</v>
      </c>
      <c r="FQ22" s="9"/>
      <c r="FR22" s="9"/>
      <c r="FS22" s="9"/>
      <c r="FT22" s="8">
        <f t="shared" si="80"/>
        <v>0</v>
      </c>
      <c r="FU22" s="8">
        <f t="shared" si="81"/>
        <v>45</v>
      </c>
      <c r="FV22" s="8">
        <f t="shared" si="82"/>
        <v>45</v>
      </c>
      <c r="FW22" s="9"/>
      <c r="FX22" s="9"/>
      <c r="FY22" s="9"/>
      <c r="FZ22" s="8">
        <f t="shared" si="83"/>
        <v>0</v>
      </c>
      <c r="GA22" s="8">
        <f t="shared" si="84"/>
        <v>45</v>
      </c>
      <c r="GB22" s="8">
        <f t="shared" si="85"/>
        <v>45</v>
      </c>
      <c r="GC22" s="9"/>
      <c r="GD22" s="9"/>
      <c r="GE22" s="9"/>
      <c r="GF22" s="8">
        <f t="shared" si="86"/>
        <v>0</v>
      </c>
      <c r="GG22" s="8">
        <f t="shared" si="87"/>
        <v>45</v>
      </c>
      <c r="GH22" s="8">
        <f t="shared" si="88"/>
        <v>45</v>
      </c>
      <c r="GI22" s="9"/>
      <c r="GJ22" s="9"/>
      <c r="GK22" s="9"/>
      <c r="GL22" s="8">
        <f t="shared" si="89"/>
        <v>0</v>
      </c>
      <c r="GM22" s="8">
        <f t="shared" si="90"/>
        <v>45</v>
      </c>
      <c r="GN22" s="10">
        <f t="shared" si="91"/>
        <v>0</v>
      </c>
      <c r="GO22" s="10">
        <f t="shared" si="92"/>
        <v>0</v>
      </c>
      <c r="GP22" s="10">
        <f t="shared" si="93"/>
        <v>0</v>
      </c>
      <c r="GQ22" s="11">
        <f t="shared" si="94"/>
        <v>0</v>
      </c>
      <c r="GR22" s="11">
        <f t="shared" si="95"/>
        <v>45</v>
      </c>
    </row>
    <row r="23" spans="1:200" ht="15.75" customHeight="1" x14ac:dyDescent="0.3">
      <c r="A23" s="6">
        <v>15</v>
      </c>
      <c r="B23" s="22" t="s">
        <v>279</v>
      </c>
      <c r="C23" s="20" t="s">
        <v>191</v>
      </c>
      <c r="D23" s="24" t="s">
        <v>362</v>
      </c>
      <c r="E23" s="16" t="s">
        <v>108</v>
      </c>
      <c r="F23" s="12" t="s">
        <v>371</v>
      </c>
      <c r="G23" s="12" t="s">
        <v>367</v>
      </c>
      <c r="H23" s="7" t="s">
        <v>70</v>
      </c>
      <c r="I23" s="8">
        <v>28</v>
      </c>
      <c r="J23" s="8">
        <v>28</v>
      </c>
      <c r="K23" s="9"/>
      <c r="L23" s="9"/>
      <c r="M23" s="9"/>
      <c r="N23" s="8">
        <f t="shared" si="0"/>
        <v>0</v>
      </c>
      <c r="O23" s="8">
        <f t="shared" si="96"/>
        <v>28</v>
      </c>
      <c r="P23" s="8">
        <f t="shared" si="1"/>
        <v>28</v>
      </c>
      <c r="Q23" s="9"/>
      <c r="R23" s="9"/>
      <c r="S23" s="9"/>
      <c r="T23" s="8">
        <f t="shared" si="2"/>
        <v>0</v>
      </c>
      <c r="U23" s="8">
        <f t="shared" si="3"/>
        <v>28</v>
      </c>
      <c r="V23" s="8">
        <f t="shared" si="4"/>
        <v>28</v>
      </c>
      <c r="W23" s="29"/>
      <c r="X23" s="29"/>
      <c r="Y23" s="29"/>
      <c r="Z23" s="8">
        <f t="shared" si="5"/>
        <v>0</v>
      </c>
      <c r="AA23" s="8">
        <f t="shared" si="6"/>
        <v>28</v>
      </c>
      <c r="AB23" s="8">
        <f t="shared" si="7"/>
        <v>28</v>
      </c>
      <c r="AC23" s="29"/>
      <c r="AD23" s="29"/>
      <c r="AE23" s="29"/>
      <c r="AF23" s="8">
        <f t="shared" si="8"/>
        <v>0</v>
      </c>
      <c r="AG23" s="8">
        <f t="shared" si="9"/>
        <v>28</v>
      </c>
      <c r="AH23" s="8">
        <f t="shared" si="10"/>
        <v>28</v>
      </c>
      <c r="AI23" s="29"/>
      <c r="AJ23" s="29"/>
      <c r="AK23" s="29"/>
      <c r="AL23" s="8">
        <f t="shared" si="11"/>
        <v>0</v>
      </c>
      <c r="AM23" s="8">
        <f t="shared" si="12"/>
        <v>28</v>
      </c>
      <c r="AN23" s="8">
        <f t="shared" si="13"/>
        <v>28</v>
      </c>
      <c r="AO23" s="9"/>
      <c r="AP23" s="9"/>
      <c r="AQ23" s="9"/>
      <c r="AR23" s="8">
        <f t="shared" si="14"/>
        <v>0</v>
      </c>
      <c r="AS23" s="8">
        <f t="shared" si="15"/>
        <v>28</v>
      </c>
      <c r="AT23" s="8">
        <f t="shared" si="16"/>
        <v>28</v>
      </c>
      <c r="AU23" s="9"/>
      <c r="AV23" s="9"/>
      <c r="AW23" s="9"/>
      <c r="AX23" s="8">
        <f t="shared" si="17"/>
        <v>0</v>
      </c>
      <c r="AY23" s="8">
        <f t="shared" si="18"/>
        <v>28</v>
      </c>
      <c r="AZ23" s="8">
        <f t="shared" si="19"/>
        <v>28</v>
      </c>
      <c r="BA23" s="9"/>
      <c r="BB23" s="9"/>
      <c r="BC23" s="9"/>
      <c r="BD23" s="8">
        <f t="shared" si="20"/>
        <v>0</v>
      </c>
      <c r="BE23" s="8">
        <f t="shared" si="21"/>
        <v>28</v>
      </c>
      <c r="BF23" s="8">
        <f t="shared" si="22"/>
        <v>28</v>
      </c>
      <c r="BG23" s="9"/>
      <c r="BH23" s="9"/>
      <c r="BI23" s="9"/>
      <c r="BJ23" s="8">
        <f t="shared" si="23"/>
        <v>0</v>
      </c>
      <c r="BK23" s="8">
        <f t="shared" si="24"/>
        <v>28</v>
      </c>
      <c r="BL23" s="8">
        <f t="shared" si="25"/>
        <v>28</v>
      </c>
      <c r="BM23" s="9"/>
      <c r="BN23" s="9"/>
      <c r="BO23" s="9"/>
      <c r="BP23" s="8">
        <f t="shared" si="26"/>
        <v>0</v>
      </c>
      <c r="BQ23" s="8">
        <f t="shared" si="27"/>
        <v>28</v>
      </c>
      <c r="BR23" s="8">
        <f t="shared" si="28"/>
        <v>28</v>
      </c>
      <c r="BS23" s="9"/>
      <c r="BT23" s="9"/>
      <c r="BU23" s="9"/>
      <c r="BV23" s="8">
        <f t="shared" si="29"/>
        <v>0</v>
      </c>
      <c r="BW23" s="8">
        <f t="shared" si="30"/>
        <v>28</v>
      </c>
      <c r="BX23" s="8">
        <f t="shared" si="31"/>
        <v>28</v>
      </c>
      <c r="BY23" s="9"/>
      <c r="BZ23" s="9"/>
      <c r="CA23" s="9"/>
      <c r="CB23" s="8">
        <f t="shared" si="32"/>
        <v>0</v>
      </c>
      <c r="CC23" s="8">
        <f t="shared" si="33"/>
        <v>28</v>
      </c>
      <c r="CD23" s="8">
        <f t="shared" si="34"/>
        <v>28</v>
      </c>
      <c r="CE23" s="9"/>
      <c r="CF23" s="9"/>
      <c r="CG23" s="9"/>
      <c r="CH23" s="8">
        <f t="shared" si="35"/>
        <v>0</v>
      </c>
      <c r="CI23" s="8">
        <f t="shared" si="36"/>
        <v>28</v>
      </c>
      <c r="CJ23" s="8">
        <f t="shared" si="37"/>
        <v>28</v>
      </c>
      <c r="CK23" s="9"/>
      <c r="CL23" s="9"/>
      <c r="CM23" s="9"/>
      <c r="CN23" s="8">
        <f t="shared" si="38"/>
        <v>0</v>
      </c>
      <c r="CO23" s="8">
        <f t="shared" si="39"/>
        <v>28</v>
      </c>
      <c r="CP23" s="8">
        <f t="shared" si="40"/>
        <v>28</v>
      </c>
      <c r="CQ23" s="9"/>
      <c r="CR23" s="9"/>
      <c r="CS23" s="9"/>
      <c r="CT23" s="8">
        <f t="shared" si="41"/>
        <v>0</v>
      </c>
      <c r="CU23" s="8">
        <f t="shared" si="42"/>
        <v>28</v>
      </c>
      <c r="CV23" s="8">
        <f t="shared" si="43"/>
        <v>28</v>
      </c>
      <c r="CW23" s="9"/>
      <c r="CX23" s="9"/>
      <c r="CY23" s="9"/>
      <c r="CZ23" s="8">
        <f t="shared" si="44"/>
        <v>0</v>
      </c>
      <c r="DA23" s="8">
        <f t="shared" si="45"/>
        <v>28</v>
      </c>
      <c r="DB23" s="8">
        <f t="shared" si="46"/>
        <v>28</v>
      </c>
      <c r="DC23" s="9"/>
      <c r="DD23" s="9"/>
      <c r="DE23" s="9"/>
      <c r="DF23" s="8">
        <f t="shared" si="47"/>
        <v>0</v>
      </c>
      <c r="DG23" s="8">
        <f t="shared" si="48"/>
        <v>28</v>
      </c>
      <c r="DH23" s="8">
        <f t="shared" si="49"/>
        <v>28</v>
      </c>
      <c r="DI23" s="9"/>
      <c r="DJ23" s="9"/>
      <c r="DK23" s="9"/>
      <c r="DL23" s="8">
        <f t="shared" si="50"/>
        <v>0</v>
      </c>
      <c r="DM23" s="8">
        <f t="shared" si="51"/>
        <v>28</v>
      </c>
      <c r="DN23" s="8">
        <f t="shared" si="52"/>
        <v>28</v>
      </c>
      <c r="DO23" s="9"/>
      <c r="DP23" s="9"/>
      <c r="DQ23" s="9"/>
      <c r="DR23" s="8">
        <f t="shared" si="53"/>
        <v>0</v>
      </c>
      <c r="DS23" s="8">
        <f t="shared" si="54"/>
        <v>28</v>
      </c>
      <c r="DT23" s="8">
        <f t="shared" si="55"/>
        <v>28</v>
      </c>
      <c r="DU23" s="9"/>
      <c r="DV23" s="9"/>
      <c r="DW23" s="9"/>
      <c r="DX23" s="8">
        <f t="shared" si="56"/>
        <v>0</v>
      </c>
      <c r="DY23" s="8">
        <f t="shared" si="57"/>
        <v>28</v>
      </c>
      <c r="DZ23" s="8">
        <f t="shared" si="58"/>
        <v>28</v>
      </c>
      <c r="EA23" s="9"/>
      <c r="EB23" s="9"/>
      <c r="EC23" s="9"/>
      <c r="ED23" s="8">
        <f t="shared" si="59"/>
        <v>0</v>
      </c>
      <c r="EE23" s="8">
        <f t="shared" si="60"/>
        <v>28</v>
      </c>
      <c r="EF23" s="8">
        <f t="shared" si="61"/>
        <v>28</v>
      </c>
      <c r="EG23" s="9"/>
      <c r="EH23" s="9"/>
      <c r="EI23" s="9"/>
      <c r="EJ23" s="8">
        <f t="shared" si="62"/>
        <v>0</v>
      </c>
      <c r="EK23" s="8">
        <f t="shared" si="63"/>
        <v>28</v>
      </c>
      <c r="EL23" s="8">
        <f t="shared" si="64"/>
        <v>28</v>
      </c>
      <c r="EM23" s="9"/>
      <c r="EN23" s="9"/>
      <c r="EO23" s="9"/>
      <c r="EP23" s="8">
        <f t="shared" si="65"/>
        <v>0</v>
      </c>
      <c r="EQ23" s="8">
        <f t="shared" si="66"/>
        <v>28</v>
      </c>
      <c r="ER23" s="8">
        <f t="shared" si="67"/>
        <v>28</v>
      </c>
      <c r="ES23" s="9"/>
      <c r="ET23" s="9"/>
      <c r="EU23" s="9"/>
      <c r="EV23" s="8">
        <f t="shared" si="68"/>
        <v>0</v>
      </c>
      <c r="EW23" s="8">
        <f t="shared" si="69"/>
        <v>28</v>
      </c>
      <c r="EX23" s="8">
        <f t="shared" si="70"/>
        <v>28</v>
      </c>
      <c r="EY23" s="9"/>
      <c r="EZ23" s="9"/>
      <c r="FA23" s="9"/>
      <c r="FB23" s="8">
        <f t="shared" si="71"/>
        <v>0</v>
      </c>
      <c r="FC23" s="8">
        <f t="shared" si="72"/>
        <v>28</v>
      </c>
      <c r="FD23" s="8">
        <f t="shared" si="73"/>
        <v>28</v>
      </c>
      <c r="FE23" s="9"/>
      <c r="FF23" s="9"/>
      <c r="FG23" s="9"/>
      <c r="FH23" s="8">
        <f t="shared" si="74"/>
        <v>0</v>
      </c>
      <c r="FI23" s="8">
        <f t="shared" si="75"/>
        <v>28</v>
      </c>
      <c r="FJ23" s="8">
        <f t="shared" si="76"/>
        <v>28</v>
      </c>
      <c r="FK23" s="9"/>
      <c r="FL23" s="9"/>
      <c r="FM23" s="9"/>
      <c r="FN23" s="8">
        <f t="shared" si="77"/>
        <v>0</v>
      </c>
      <c r="FO23" s="8">
        <f t="shared" si="78"/>
        <v>28</v>
      </c>
      <c r="FP23" s="8">
        <f t="shared" si="79"/>
        <v>28</v>
      </c>
      <c r="FQ23" s="9"/>
      <c r="FR23" s="9"/>
      <c r="FS23" s="9"/>
      <c r="FT23" s="8">
        <f t="shared" si="80"/>
        <v>0</v>
      </c>
      <c r="FU23" s="8">
        <f t="shared" si="81"/>
        <v>28</v>
      </c>
      <c r="FV23" s="8">
        <f t="shared" si="82"/>
        <v>28</v>
      </c>
      <c r="FW23" s="9"/>
      <c r="FX23" s="9"/>
      <c r="FY23" s="9"/>
      <c r="FZ23" s="8">
        <f t="shared" si="83"/>
        <v>0</v>
      </c>
      <c r="GA23" s="8">
        <f t="shared" si="84"/>
        <v>28</v>
      </c>
      <c r="GB23" s="8">
        <f t="shared" si="85"/>
        <v>28</v>
      </c>
      <c r="GC23" s="9"/>
      <c r="GD23" s="9"/>
      <c r="GE23" s="9"/>
      <c r="GF23" s="8">
        <f t="shared" si="86"/>
        <v>0</v>
      </c>
      <c r="GG23" s="8">
        <f t="shared" si="87"/>
        <v>28</v>
      </c>
      <c r="GH23" s="8">
        <f t="shared" si="88"/>
        <v>28</v>
      </c>
      <c r="GI23" s="9"/>
      <c r="GJ23" s="9"/>
      <c r="GK23" s="9"/>
      <c r="GL23" s="8">
        <f t="shared" si="89"/>
        <v>0</v>
      </c>
      <c r="GM23" s="8">
        <f t="shared" si="90"/>
        <v>28</v>
      </c>
      <c r="GN23" s="10">
        <f t="shared" si="91"/>
        <v>0</v>
      </c>
      <c r="GO23" s="10">
        <f t="shared" si="92"/>
        <v>0</v>
      </c>
      <c r="GP23" s="10">
        <f t="shared" si="93"/>
        <v>0</v>
      </c>
      <c r="GQ23" s="11">
        <f t="shared" si="94"/>
        <v>0</v>
      </c>
      <c r="GR23" s="11">
        <f t="shared" si="95"/>
        <v>28</v>
      </c>
    </row>
    <row r="24" spans="1:200" ht="15.75" customHeight="1" x14ac:dyDescent="0.3">
      <c r="A24" s="6">
        <v>16</v>
      </c>
      <c r="B24" s="22" t="s">
        <v>280</v>
      </c>
      <c r="C24" s="20" t="s">
        <v>192</v>
      </c>
      <c r="D24" s="24" t="s">
        <v>362</v>
      </c>
      <c r="E24" s="16" t="s">
        <v>109</v>
      </c>
      <c r="F24" s="12" t="s">
        <v>380</v>
      </c>
      <c r="G24" s="12" t="s">
        <v>374</v>
      </c>
      <c r="H24" s="7" t="s">
        <v>70</v>
      </c>
      <c r="I24" s="8">
        <v>2.5</v>
      </c>
      <c r="J24" s="27">
        <v>2.5</v>
      </c>
      <c r="K24" s="9"/>
      <c r="L24" s="9"/>
      <c r="M24" s="9"/>
      <c r="N24" s="8">
        <f t="shared" si="0"/>
        <v>0</v>
      </c>
      <c r="O24" s="8">
        <f t="shared" si="96"/>
        <v>2.5</v>
      </c>
      <c r="P24" s="8">
        <f t="shared" si="1"/>
        <v>2.5</v>
      </c>
      <c r="Q24" s="9"/>
      <c r="R24" s="9"/>
      <c r="S24" s="9"/>
      <c r="T24" s="8">
        <f t="shared" si="2"/>
        <v>0</v>
      </c>
      <c r="U24" s="8">
        <f t="shared" si="3"/>
        <v>2.5</v>
      </c>
      <c r="V24" s="8">
        <f t="shared" si="4"/>
        <v>2.5</v>
      </c>
      <c r="W24" s="29"/>
      <c r="X24" s="29"/>
      <c r="Y24" s="29"/>
      <c r="Z24" s="8">
        <f t="shared" si="5"/>
        <v>0</v>
      </c>
      <c r="AA24" s="8">
        <f t="shared" si="6"/>
        <v>2.5</v>
      </c>
      <c r="AB24" s="8">
        <f t="shared" si="7"/>
        <v>2.5</v>
      </c>
      <c r="AC24" s="29"/>
      <c r="AD24" s="29"/>
      <c r="AE24" s="29"/>
      <c r="AF24" s="8">
        <f t="shared" si="8"/>
        <v>0</v>
      </c>
      <c r="AG24" s="8">
        <f t="shared" si="9"/>
        <v>2.5</v>
      </c>
      <c r="AH24" s="8">
        <f t="shared" si="10"/>
        <v>2.5</v>
      </c>
      <c r="AI24" s="29"/>
      <c r="AJ24" s="29"/>
      <c r="AK24" s="29"/>
      <c r="AL24" s="8">
        <f t="shared" si="11"/>
        <v>0</v>
      </c>
      <c r="AM24" s="8">
        <f t="shared" si="12"/>
        <v>2.5</v>
      </c>
      <c r="AN24" s="8">
        <f t="shared" si="13"/>
        <v>2.5</v>
      </c>
      <c r="AO24" s="9"/>
      <c r="AP24" s="9"/>
      <c r="AQ24" s="9"/>
      <c r="AR24" s="8">
        <f t="shared" si="14"/>
        <v>0</v>
      </c>
      <c r="AS24" s="8">
        <f t="shared" si="15"/>
        <v>2.5</v>
      </c>
      <c r="AT24" s="8">
        <f t="shared" si="16"/>
        <v>2.5</v>
      </c>
      <c r="AU24" s="9"/>
      <c r="AV24" s="9"/>
      <c r="AW24" s="9"/>
      <c r="AX24" s="8">
        <f t="shared" si="17"/>
        <v>0</v>
      </c>
      <c r="AY24" s="8">
        <f t="shared" si="18"/>
        <v>2.5</v>
      </c>
      <c r="AZ24" s="8">
        <f t="shared" si="19"/>
        <v>2.5</v>
      </c>
      <c r="BA24" s="9"/>
      <c r="BB24" s="9"/>
      <c r="BC24" s="9"/>
      <c r="BD24" s="8">
        <f t="shared" si="20"/>
        <v>0</v>
      </c>
      <c r="BE24" s="8">
        <f t="shared" si="21"/>
        <v>2.5</v>
      </c>
      <c r="BF24" s="8">
        <f t="shared" si="22"/>
        <v>2.5</v>
      </c>
      <c r="BG24" s="9"/>
      <c r="BH24" s="9"/>
      <c r="BI24" s="9"/>
      <c r="BJ24" s="8">
        <f t="shared" si="23"/>
        <v>0</v>
      </c>
      <c r="BK24" s="8">
        <f t="shared" si="24"/>
        <v>2.5</v>
      </c>
      <c r="BL24" s="8">
        <f t="shared" si="25"/>
        <v>2.5</v>
      </c>
      <c r="BM24" s="9"/>
      <c r="BN24" s="9"/>
      <c r="BO24" s="9"/>
      <c r="BP24" s="8">
        <f t="shared" si="26"/>
        <v>0</v>
      </c>
      <c r="BQ24" s="8">
        <f t="shared" si="27"/>
        <v>2.5</v>
      </c>
      <c r="BR24" s="8">
        <f t="shared" si="28"/>
        <v>2.5</v>
      </c>
      <c r="BS24" s="9"/>
      <c r="BT24" s="9"/>
      <c r="BU24" s="9"/>
      <c r="BV24" s="8">
        <f t="shared" si="29"/>
        <v>0</v>
      </c>
      <c r="BW24" s="8">
        <f t="shared" si="30"/>
        <v>2.5</v>
      </c>
      <c r="BX24" s="8">
        <f t="shared" si="31"/>
        <v>2.5</v>
      </c>
      <c r="BY24" s="9"/>
      <c r="BZ24" s="9"/>
      <c r="CA24" s="9"/>
      <c r="CB24" s="8">
        <f t="shared" si="32"/>
        <v>0</v>
      </c>
      <c r="CC24" s="8">
        <f t="shared" si="33"/>
        <v>2.5</v>
      </c>
      <c r="CD24" s="8">
        <f t="shared" si="34"/>
        <v>2.5</v>
      </c>
      <c r="CE24" s="9"/>
      <c r="CF24" s="9"/>
      <c r="CG24" s="9"/>
      <c r="CH24" s="8">
        <f t="shared" si="35"/>
        <v>0</v>
      </c>
      <c r="CI24" s="8">
        <f t="shared" si="36"/>
        <v>2.5</v>
      </c>
      <c r="CJ24" s="8">
        <f t="shared" si="37"/>
        <v>2.5</v>
      </c>
      <c r="CK24" s="9"/>
      <c r="CL24" s="9"/>
      <c r="CM24" s="9"/>
      <c r="CN24" s="8">
        <f t="shared" si="38"/>
        <v>0</v>
      </c>
      <c r="CO24" s="8">
        <f t="shared" si="39"/>
        <v>2.5</v>
      </c>
      <c r="CP24" s="8">
        <f t="shared" si="40"/>
        <v>2.5</v>
      </c>
      <c r="CQ24" s="9"/>
      <c r="CR24" s="9"/>
      <c r="CS24" s="9"/>
      <c r="CT24" s="8">
        <f t="shared" si="41"/>
        <v>0</v>
      </c>
      <c r="CU24" s="8">
        <f t="shared" si="42"/>
        <v>2.5</v>
      </c>
      <c r="CV24" s="8">
        <f t="shared" si="43"/>
        <v>2.5</v>
      </c>
      <c r="CW24" s="9"/>
      <c r="CX24" s="9"/>
      <c r="CY24" s="9"/>
      <c r="CZ24" s="8">
        <f t="shared" si="44"/>
        <v>0</v>
      </c>
      <c r="DA24" s="8">
        <f t="shared" si="45"/>
        <v>2.5</v>
      </c>
      <c r="DB24" s="8">
        <f t="shared" si="46"/>
        <v>2.5</v>
      </c>
      <c r="DC24" s="9"/>
      <c r="DD24" s="9"/>
      <c r="DE24" s="9"/>
      <c r="DF24" s="8">
        <f t="shared" si="47"/>
        <v>0</v>
      </c>
      <c r="DG24" s="8">
        <f t="shared" si="48"/>
        <v>2.5</v>
      </c>
      <c r="DH24" s="8">
        <f t="shared" si="49"/>
        <v>2.5</v>
      </c>
      <c r="DI24" s="9"/>
      <c r="DJ24" s="9"/>
      <c r="DK24" s="9"/>
      <c r="DL24" s="8">
        <f t="shared" si="50"/>
        <v>0</v>
      </c>
      <c r="DM24" s="8">
        <f t="shared" si="51"/>
        <v>2.5</v>
      </c>
      <c r="DN24" s="8">
        <f t="shared" si="52"/>
        <v>2.5</v>
      </c>
      <c r="DO24" s="9"/>
      <c r="DP24" s="9"/>
      <c r="DQ24" s="9"/>
      <c r="DR24" s="8">
        <f t="shared" si="53"/>
        <v>0</v>
      </c>
      <c r="DS24" s="8">
        <f t="shared" si="54"/>
        <v>2.5</v>
      </c>
      <c r="DT24" s="8">
        <f t="shared" si="55"/>
        <v>2.5</v>
      </c>
      <c r="DU24" s="9"/>
      <c r="DV24" s="9"/>
      <c r="DW24" s="9"/>
      <c r="DX24" s="8">
        <f t="shared" si="56"/>
        <v>0</v>
      </c>
      <c r="DY24" s="8">
        <f t="shared" si="57"/>
        <v>2.5</v>
      </c>
      <c r="DZ24" s="8">
        <f t="shared" si="58"/>
        <v>2.5</v>
      </c>
      <c r="EA24" s="9"/>
      <c r="EB24" s="9"/>
      <c r="EC24" s="9"/>
      <c r="ED24" s="8">
        <f t="shared" si="59"/>
        <v>0</v>
      </c>
      <c r="EE24" s="8">
        <f t="shared" si="60"/>
        <v>2.5</v>
      </c>
      <c r="EF24" s="8">
        <f t="shared" si="61"/>
        <v>2.5</v>
      </c>
      <c r="EG24" s="9"/>
      <c r="EH24" s="9"/>
      <c r="EI24" s="9"/>
      <c r="EJ24" s="8">
        <f t="shared" si="62"/>
        <v>0</v>
      </c>
      <c r="EK24" s="8">
        <f t="shared" si="63"/>
        <v>2.5</v>
      </c>
      <c r="EL24" s="8">
        <f t="shared" si="64"/>
        <v>2.5</v>
      </c>
      <c r="EM24" s="9"/>
      <c r="EN24" s="9"/>
      <c r="EO24" s="9"/>
      <c r="EP24" s="8">
        <f t="shared" si="65"/>
        <v>0</v>
      </c>
      <c r="EQ24" s="8">
        <f t="shared" si="66"/>
        <v>2.5</v>
      </c>
      <c r="ER24" s="8">
        <f t="shared" si="67"/>
        <v>2.5</v>
      </c>
      <c r="ES24" s="9"/>
      <c r="ET24" s="9"/>
      <c r="EU24" s="9"/>
      <c r="EV24" s="8">
        <f t="shared" si="68"/>
        <v>0</v>
      </c>
      <c r="EW24" s="8">
        <f t="shared" si="69"/>
        <v>2.5</v>
      </c>
      <c r="EX24" s="8">
        <f t="shared" si="70"/>
        <v>2.5</v>
      </c>
      <c r="EY24" s="9"/>
      <c r="EZ24" s="9"/>
      <c r="FA24" s="9"/>
      <c r="FB24" s="8">
        <f t="shared" si="71"/>
        <v>0</v>
      </c>
      <c r="FC24" s="8">
        <f t="shared" si="72"/>
        <v>2.5</v>
      </c>
      <c r="FD24" s="8">
        <f t="shared" si="73"/>
        <v>2.5</v>
      </c>
      <c r="FE24" s="9"/>
      <c r="FF24" s="9"/>
      <c r="FG24" s="9"/>
      <c r="FH24" s="8">
        <f t="shared" si="74"/>
        <v>0</v>
      </c>
      <c r="FI24" s="8">
        <f t="shared" si="75"/>
        <v>2.5</v>
      </c>
      <c r="FJ24" s="8">
        <f t="shared" si="76"/>
        <v>2.5</v>
      </c>
      <c r="FK24" s="9"/>
      <c r="FL24" s="9"/>
      <c r="FM24" s="9"/>
      <c r="FN24" s="8">
        <f t="shared" si="77"/>
        <v>0</v>
      </c>
      <c r="FO24" s="8">
        <f t="shared" si="78"/>
        <v>2.5</v>
      </c>
      <c r="FP24" s="8">
        <f t="shared" si="79"/>
        <v>2.5</v>
      </c>
      <c r="FQ24" s="9"/>
      <c r="FR24" s="9"/>
      <c r="FS24" s="9"/>
      <c r="FT24" s="8">
        <f t="shared" si="80"/>
        <v>0</v>
      </c>
      <c r="FU24" s="8">
        <f t="shared" si="81"/>
        <v>2.5</v>
      </c>
      <c r="FV24" s="8">
        <f t="shared" si="82"/>
        <v>2.5</v>
      </c>
      <c r="FW24" s="9"/>
      <c r="FX24" s="9"/>
      <c r="FY24" s="9"/>
      <c r="FZ24" s="8">
        <f t="shared" si="83"/>
        <v>0</v>
      </c>
      <c r="GA24" s="8">
        <f t="shared" si="84"/>
        <v>2.5</v>
      </c>
      <c r="GB24" s="8">
        <f t="shared" si="85"/>
        <v>2.5</v>
      </c>
      <c r="GC24" s="9"/>
      <c r="GD24" s="9"/>
      <c r="GE24" s="9"/>
      <c r="GF24" s="8">
        <f t="shared" si="86"/>
        <v>0</v>
      </c>
      <c r="GG24" s="8">
        <f t="shared" si="87"/>
        <v>2.5</v>
      </c>
      <c r="GH24" s="8">
        <f t="shared" si="88"/>
        <v>2.5</v>
      </c>
      <c r="GI24" s="9"/>
      <c r="GJ24" s="9"/>
      <c r="GK24" s="9"/>
      <c r="GL24" s="8">
        <f t="shared" si="89"/>
        <v>0</v>
      </c>
      <c r="GM24" s="8">
        <f t="shared" si="90"/>
        <v>2.5</v>
      </c>
      <c r="GN24" s="10">
        <f t="shared" si="91"/>
        <v>0</v>
      </c>
      <c r="GO24" s="10">
        <f t="shared" si="92"/>
        <v>0</v>
      </c>
      <c r="GP24" s="10">
        <f t="shared" si="93"/>
        <v>0</v>
      </c>
      <c r="GQ24" s="11">
        <f t="shared" si="94"/>
        <v>0</v>
      </c>
      <c r="GR24" s="11">
        <f t="shared" si="95"/>
        <v>2.5</v>
      </c>
    </row>
    <row r="25" spans="1:200" ht="15.75" customHeight="1" x14ac:dyDescent="0.3">
      <c r="A25" s="6">
        <v>17</v>
      </c>
      <c r="B25" s="22" t="s">
        <v>281</v>
      </c>
      <c r="C25" s="20" t="s">
        <v>193</v>
      </c>
      <c r="D25" s="24" t="s">
        <v>362</v>
      </c>
      <c r="E25" s="16" t="s">
        <v>110</v>
      </c>
      <c r="F25" s="12" t="s">
        <v>375</v>
      </c>
      <c r="G25" s="12" t="s">
        <v>71</v>
      </c>
      <c r="H25" s="7" t="s">
        <v>70</v>
      </c>
      <c r="I25" s="8">
        <v>8.6999999999999993</v>
      </c>
      <c r="J25" s="27">
        <v>8.6999999999999993</v>
      </c>
      <c r="K25" s="9"/>
      <c r="L25" s="9"/>
      <c r="M25" s="9"/>
      <c r="N25" s="8">
        <f t="shared" si="0"/>
        <v>0</v>
      </c>
      <c r="O25" s="8">
        <f t="shared" si="96"/>
        <v>8.6999999999999993</v>
      </c>
      <c r="P25" s="8">
        <f t="shared" si="1"/>
        <v>8.6999999999999993</v>
      </c>
      <c r="Q25" s="9"/>
      <c r="R25" s="9"/>
      <c r="S25" s="9"/>
      <c r="T25" s="8">
        <f t="shared" si="2"/>
        <v>0</v>
      </c>
      <c r="U25" s="8">
        <f t="shared" si="3"/>
        <v>8.6999999999999993</v>
      </c>
      <c r="V25" s="8">
        <f t="shared" si="4"/>
        <v>8.6999999999999993</v>
      </c>
      <c r="W25" s="29"/>
      <c r="X25" s="29"/>
      <c r="Y25" s="29"/>
      <c r="Z25" s="8">
        <f t="shared" si="5"/>
        <v>0</v>
      </c>
      <c r="AA25" s="8">
        <f t="shared" si="6"/>
        <v>8.6999999999999993</v>
      </c>
      <c r="AB25" s="8">
        <f t="shared" si="7"/>
        <v>8.6999999999999993</v>
      </c>
      <c r="AC25" s="29"/>
      <c r="AD25" s="29"/>
      <c r="AE25" s="29"/>
      <c r="AF25" s="8">
        <f t="shared" si="8"/>
        <v>0</v>
      </c>
      <c r="AG25" s="8">
        <f t="shared" si="9"/>
        <v>8.6999999999999993</v>
      </c>
      <c r="AH25" s="8">
        <f t="shared" si="10"/>
        <v>8.6999999999999993</v>
      </c>
      <c r="AI25" s="29"/>
      <c r="AJ25" s="29">
        <v>0.02</v>
      </c>
      <c r="AK25" s="29">
        <v>0</v>
      </c>
      <c r="AL25" s="8">
        <f t="shared" si="11"/>
        <v>0.02</v>
      </c>
      <c r="AM25" s="8">
        <f t="shared" si="12"/>
        <v>8.68</v>
      </c>
      <c r="AN25" s="8">
        <f t="shared" si="13"/>
        <v>8.68</v>
      </c>
      <c r="AO25" s="9"/>
      <c r="AP25" s="9"/>
      <c r="AQ25" s="9"/>
      <c r="AR25" s="8">
        <f t="shared" si="14"/>
        <v>0</v>
      </c>
      <c r="AS25" s="8">
        <f t="shared" si="15"/>
        <v>8.68</v>
      </c>
      <c r="AT25" s="8">
        <f t="shared" si="16"/>
        <v>8.68</v>
      </c>
      <c r="AU25" s="9"/>
      <c r="AV25" s="9">
        <v>0.1</v>
      </c>
      <c r="AW25" s="9">
        <v>0</v>
      </c>
      <c r="AX25" s="8">
        <f t="shared" si="17"/>
        <v>0.1</v>
      </c>
      <c r="AY25" s="8">
        <f t="shared" si="18"/>
        <v>8.58</v>
      </c>
      <c r="AZ25" s="8">
        <f t="shared" si="19"/>
        <v>8.58</v>
      </c>
      <c r="BA25" s="9"/>
      <c r="BB25" s="9"/>
      <c r="BC25" s="9"/>
      <c r="BD25" s="8">
        <f t="shared" si="20"/>
        <v>0</v>
      </c>
      <c r="BE25" s="8">
        <f t="shared" si="21"/>
        <v>8.58</v>
      </c>
      <c r="BF25" s="8">
        <f t="shared" si="22"/>
        <v>8.58</v>
      </c>
      <c r="BG25" s="9"/>
      <c r="BH25" s="9"/>
      <c r="BI25" s="9"/>
      <c r="BJ25" s="8">
        <f t="shared" si="23"/>
        <v>0</v>
      </c>
      <c r="BK25" s="8">
        <f t="shared" si="24"/>
        <v>8.58</v>
      </c>
      <c r="BL25" s="8">
        <f t="shared" si="25"/>
        <v>8.58</v>
      </c>
      <c r="BM25" s="9"/>
      <c r="BN25" s="9"/>
      <c r="BO25" s="9"/>
      <c r="BP25" s="8">
        <f t="shared" si="26"/>
        <v>0</v>
      </c>
      <c r="BQ25" s="8">
        <f t="shared" si="27"/>
        <v>8.58</v>
      </c>
      <c r="BR25" s="8">
        <f t="shared" si="28"/>
        <v>8.58</v>
      </c>
      <c r="BS25" s="9"/>
      <c r="BT25" s="9"/>
      <c r="BU25" s="9"/>
      <c r="BV25" s="8">
        <f t="shared" si="29"/>
        <v>0</v>
      </c>
      <c r="BW25" s="8">
        <f t="shared" si="30"/>
        <v>8.58</v>
      </c>
      <c r="BX25" s="8">
        <f t="shared" si="31"/>
        <v>8.58</v>
      </c>
      <c r="BY25" s="9"/>
      <c r="BZ25" s="9"/>
      <c r="CA25" s="9"/>
      <c r="CB25" s="8">
        <f t="shared" si="32"/>
        <v>0</v>
      </c>
      <c r="CC25" s="8">
        <f t="shared" si="33"/>
        <v>8.58</v>
      </c>
      <c r="CD25" s="8">
        <f t="shared" si="34"/>
        <v>8.58</v>
      </c>
      <c r="CE25" s="9"/>
      <c r="CF25" s="9">
        <v>0.5</v>
      </c>
      <c r="CG25" s="9">
        <v>0</v>
      </c>
      <c r="CH25" s="8">
        <f t="shared" si="35"/>
        <v>0.5</v>
      </c>
      <c r="CI25" s="8">
        <f t="shared" si="36"/>
        <v>8.08</v>
      </c>
      <c r="CJ25" s="8">
        <f t="shared" si="37"/>
        <v>8.08</v>
      </c>
      <c r="CK25" s="9"/>
      <c r="CL25" s="9">
        <v>0.14000000000000001</v>
      </c>
      <c r="CM25" s="9">
        <v>0</v>
      </c>
      <c r="CN25" s="8">
        <f t="shared" si="38"/>
        <v>0.14000000000000001</v>
      </c>
      <c r="CO25" s="8">
        <f t="shared" si="39"/>
        <v>7.94</v>
      </c>
      <c r="CP25" s="8">
        <f t="shared" si="40"/>
        <v>7.94</v>
      </c>
      <c r="CQ25" s="9"/>
      <c r="CR25" s="9"/>
      <c r="CS25" s="9"/>
      <c r="CT25" s="8">
        <f t="shared" si="41"/>
        <v>0</v>
      </c>
      <c r="CU25" s="8">
        <f t="shared" si="42"/>
        <v>7.94</v>
      </c>
      <c r="CV25" s="8">
        <f t="shared" si="43"/>
        <v>7.94</v>
      </c>
      <c r="CW25" s="9"/>
      <c r="CX25" s="9"/>
      <c r="CY25" s="9"/>
      <c r="CZ25" s="8">
        <f t="shared" si="44"/>
        <v>0</v>
      </c>
      <c r="DA25" s="8">
        <f t="shared" si="45"/>
        <v>7.94</v>
      </c>
      <c r="DB25" s="8">
        <f t="shared" si="46"/>
        <v>7.94</v>
      </c>
      <c r="DC25" s="9"/>
      <c r="DD25" s="9"/>
      <c r="DE25" s="9"/>
      <c r="DF25" s="8">
        <f t="shared" si="47"/>
        <v>0</v>
      </c>
      <c r="DG25" s="8">
        <f t="shared" si="48"/>
        <v>7.94</v>
      </c>
      <c r="DH25" s="8">
        <f t="shared" si="49"/>
        <v>7.94</v>
      </c>
      <c r="DI25" s="9"/>
      <c r="DJ25" s="9"/>
      <c r="DK25" s="9"/>
      <c r="DL25" s="8">
        <f t="shared" si="50"/>
        <v>0</v>
      </c>
      <c r="DM25" s="8">
        <f t="shared" si="51"/>
        <v>7.94</v>
      </c>
      <c r="DN25" s="8">
        <f t="shared" si="52"/>
        <v>7.94</v>
      </c>
      <c r="DO25" s="9"/>
      <c r="DP25" s="9"/>
      <c r="DQ25" s="9"/>
      <c r="DR25" s="8">
        <f t="shared" si="53"/>
        <v>0</v>
      </c>
      <c r="DS25" s="8">
        <f t="shared" si="54"/>
        <v>7.94</v>
      </c>
      <c r="DT25" s="8">
        <f t="shared" si="55"/>
        <v>7.94</v>
      </c>
      <c r="DU25" s="9"/>
      <c r="DV25" s="9"/>
      <c r="DW25" s="9"/>
      <c r="DX25" s="8">
        <f t="shared" si="56"/>
        <v>0</v>
      </c>
      <c r="DY25" s="8">
        <f t="shared" si="57"/>
        <v>7.94</v>
      </c>
      <c r="DZ25" s="8">
        <f t="shared" si="58"/>
        <v>7.94</v>
      </c>
      <c r="EA25" s="9"/>
      <c r="EB25" s="9"/>
      <c r="EC25" s="9"/>
      <c r="ED25" s="8">
        <f t="shared" si="59"/>
        <v>0</v>
      </c>
      <c r="EE25" s="8">
        <f t="shared" si="60"/>
        <v>7.94</v>
      </c>
      <c r="EF25" s="8">
        <f t="shared" si="61"/>
        <v>7.94</v>
      </c>
      <c r="EG25" s="9"/>
      <c r="EH25" s="9"/>
      <c r="EI25" s="9"/>
      <c r="EJ25" s="8">
        <f t="shared" si="62"/>
        <v>0</v>
      </c>
      <c r="EK25" s="8">
        <f t="shared" si="63"/>
        <v>7.94</v>
      </c>
      <c r="EL25" s="8">
        <f t="shared" si="64"/>
        <v>7.94</v>
      </c>
      <c r="EM25" s="9"/>
      <c r="EN25" s="9"/>
      <c r="EO25" s="9"/>
      <c r="EP25" s="8">
        <f t="shared" si="65"/>
        <v>0</v>
      </c>
      <c r="EQ25" s="8">
        <f t="shared" si="66"/>
        <v>7.94</v>
      </c>
      <c r="ER25" s="8">
        <f t="shared" si="67"/>
        <v>7.94</v>
      </c>
      <c r="ES25" s="9"/>
      <c r="ET25" s="9"/>
      <c r="EU25" s="9"/>
      <c r="EV25" s="8">
        <f t="shared" si="68"/>
        <v>0</v>
      </c>
      <c r="EW25" s="8">
        <f t="shared" si="69"/>
        <v>7.94</v>
      </c>
      <c r="EX25" s="8">
        <f t="shared" si="70"/>
        <v>7.94</v>
      </c>
      <c r="EY25" s="9"/>
      <c r="EZ25" s="9"/>
      <c r="FA25" s="9"/>
      <c r="FB25" s="8">
        <f t="shared" si="71"/>
        <v>0</v>
      </c>
      <c r="FC25" s="8">
        <f t="shared" si="72"/>
        <v>7.94</v>
      </c>
      <c r="FD25" s="8">
        <f t="shared" si="73"/>
        <v>7.94</v>
      </c>
      <c r="FE25" s="9"/>
      <c r="FF25" s="9"/>
      <c r="FG25" s="9"/>
      <c r="FH25" s="8">
        <f t="shared" si="74"/>
        <v>0</v>
      </c>
      <c r="FI25" s="8">
        <f t="shared" si="75"/>
        <v>7.94</v>
      </c>
      <c r="FJ25" s="8">
        <f t="shared" si="76"/>
        <v>7.94</v>
      </c>
      <c r="FK25" s="9"/>
      <c r="FL25" s="9"/>
      <c r="FM25" s="9"/>
      <c r="FN25" s="8">
        <f t="shared" si="77"/>
        <v>0</v>
      </c>
      <c r="FO25" s="8">
        <f t="shared" si="78"/>
        <v>7.94</v>
      </c>
      <c r="FP25" s="8">
        <f t="shared" si="79"/>
        <v>7.94</v>
      </c>
      <c r="FQ25" s="9"/>
      <c r="FR25" s="9"/>
      <c r="FS25" s="9"/>
      <c r="FT25" s="8">
        <f t="shared" si="80"/>
        <v>0</v>
      </c>
      <c r="FU25" s="8">
        <f t="shared" si="81"/>
        <v>7.94</v>
      </c>
      <c r="FV25" s="8">
        <f t="shared" si="82"/>
        <v>7.94</v>
      </c>
      <c r="FW25" s="9"/>
      <c r="FX25" s="9"/>
      <c r="FY25" s="9"/>
      <c r="FZ25" s="8">
        <f t="shared" si="83"/>
        <v>0</v>
      </c>
      <c r="GA25" s="8">
        <f t="shared" si="84"/>
        <v>7.94</v>
      </c>
      <c r="GB25" s="8">
        <f t="shared" si="85"/>
        <v>7.94</v>
      </c>
      <c r="GC25" s="9"/>
      <c r="GD25" s="9"/>
      <c r="GE25" s="9"/>
      <c r="GF25" s="8">
        <f t="shared" si="86"/>
        <v>0</v>
      </c>
      <c r="GG25" s="8">
        <f t="shared" si="87"/>
        <v>7.94</v>
      </c>
      <c r="GH25" s="8">
        <f t="shared" si="88"/>
        <v>7.94</v>
      </c>
      <c r="GI25" s="9"/>
      <c r="GJ25" s="9"/>
      <c r="GK25" s="9"/>
      <c r="GL25" s="8">
        <f t="shared" si="89"/>
        <v>0</v>
      </c>
      <c r="GM25" s="8">
        <f t="shared" si="90"/>
        <v>7.94</v>
      </c>
      <c r="GN25" s="10">
        <f t="shared" si="91"/>
        <v>0</v>
      </c>
      <c r="GO25" s="10">
        <f t="shared" si="92"/>
        <v>0.76</v>
      </c>
      <c r="GP25" s="10">
        <f t="shared" si="93"/>
        <v>0</v>
      </c>
      <c r="GQ25" s="11">
        <f t="shared" si="94"/>
        <v>0.76</v>
      </c>
      <c r="GR25" s="11">
        <f t="shared" si="95"/>
        <v>7.94</v>
      </c>
    </row>
    <row r="26" spans="1:200" ht="15.75" customHeight="1" x14ac:dyDescent="0.3">
      <c r="A26" s="6">
        <v>18</v>
      </c>
      <c r="B26" s="22" t="s">
        <v>282</v>
      </c>
      <c r="C26" s="20" t="s">
        <v>194</v>
      </c>
      <c r="D26" s="24" t="s">
        <v>362</v>
      </c>
      <c r="E26" s="16" t="s">
        <v>111</v>
      </c>
      <c r="F26" s="12" t="s">
        <v>375</v>
      </c>
      <c r="G26" s="12" t="s">
        <v>71</v>
      </c>
      <c r="H26" s="7" t="s">
        <v>70</v>
      </c>
      <c r="I26" s="8">
        <v>7.4999999999999991</v>
      </c>
      <c r="J26" s="28">
        <v>7.5</v>
      </c>
      <c r="K26" s="9"/>
      <c r="L26" s="9"/>
      <c r="M26" s="9"/>
      <c r="N26" s="8">
        <f t="shared" si="0"/>
        <v>0</v>
      </c>
      <c r="O26" s="8">
        <f t="shared" si="96"/>
        <v>7.5</v>
      </c>
      <c r="P26" s="8">
        <f t="shared" si="1"/>
        <v>7.5</v>
      </c>
      <c r="Q26" s="9"/>
      <c r="R26" s="9"/>
      <c r="S26" s="9"/>
      <c r="T26" s="8">
        <f t="shared" si="2"/>
        <v>0</v>
      </c>
      <c r="U26" s="8">
        <f t="shared" si="3"/>
        <v>7.5</v>
      </c>
      <c r="V26" s="8">
        <f t="shared" si="4"/>
        <v>7.5</v>
      </c>
      <c r="W26" s="29"/>
      <c r="X26" s="29"/>
      <c r="Y26" s="29"/>
      <c r="Z26" s="8">
        <f t="shared" si="5"/>
        <v>0</v>
      </c>
      <c r="AA26" s="8">
        <f t="shared" si="6"/>
        <v>7.5</v>
      </c>
      <c r="AB26" s="8">
        <f t="shared" si="7"/>
        <v>7.5</v>
      </c>
      <c r="AC26" s="29"/>
      <c r="AD26" s="29"/>
      <c r="AE26" s="29"/>
      <c r="AF26" s="8">
        <f t="shared" si="8"/>
        <v>0</v>
      </c>
      <c r="AG26" s="8">
        <f t="shared" si="9"/>
        <v>7.5</v>
      </c>
      <c r="AH26" s="8">
        <f t="shared" si="10"/>
        <v>7.5</v>
      </c>
      <c r="AI26" s="29"/>
      <c r="AJ26" s="29"/>
      <c r="AK26" s="29"/>
      <c r="AL26" s="8">
        <f t="shared" si="11"/>
        <v>0</v>
      </c>
      <c r="AM26" s="8">
        <f t="shared" si="12"/>
        <v>7.5</v>
      </c>
      <c r="AN26" s="8">
        <f t="shared" si="13"/>
        <v>7.5</v>
      </c>
      <c r="AO26" s="9"/>
      <c r="AP26" s="9"/>
      <c r="AQ26" s="9"/>
      <c r="AR26" s="8">
        <f t="shared" si="14"/>
        <v>0</v>
      </c>
      <c r="AS26" s="8">
        <f t="shared" si="15"/>
        <v>7.5</v>
      </c>
      <c r="AT26" s="8">
        <f t="shared" si="16"/>
        <v>7.5</v>
      </c>
      <c r="AU26" s="9"/>
      <c r="AV26" s="9"/>
      <c r="AW26" s="9"/>
      <c r="AX26" s="8">
        <f t="shared" si="17"/>
        <v>0</v>
      </c>
      <c r="AY26" s="8">
        <f t="shared" si="18"/>
        <v>7.5</v>
      </c>
      <c r="AZ26" s="8">
        <f t="shared" si="19"/>
        <v>7.5</v>
      </c>
      <c r="BA26" s="9"/>
      <c r="BB26" s="9"/>
      <c r="BC26" s="9"/>
      <c r="BD26" s="8">
        <f t="shared" si="20"/>
        <v>0</v>
      </c>
      <c r="BE26" s="8">
        <f t="shared" si="21"/>
        <v>7.5</v>
      </c>
      <c r="BF26" s="8">
        <f t="shared" si="22"/>
        <v>7.5</v>
      </c>
      <c r="BG26" s="9"/>
      <c r="BH26" s="9"/>
      <c r="BI26" s="9"/>
      <c r="BJ26" s="8">
        <f t="shared" si="23"/>
        <v>0</v>
      </c>
      <c r="BK26" s="8">
        <f t="shared" si="24"/>
        <v>7.5</v>
      </c>
      <c r="BL26" s="8">
        <f t="shared" si="25"/>
        <v>7.5</v>
      </c>
      <c r="BM26" s="9"/>
      <c r="BN26" s="9"/>
      <c r="BO26" s="9"/>
      <c r="BP26" s="8">
        <f t="shared" si="26"/>
        <v>0</v>
      </c>
      <c r="BQ26" s="8">
        <f t="shared" si="27"/>
        <v>7.5</v>
      </c>
      <c r="BR26" s="8">
        <f t="shared" si="28"/>
        <v>7.5</v>
      </c>
      <c r="BS26" s="9"/>
      <c r="BT26" s="9"/>
      <c r="BU26" s="9"/>
      <c r="BV26" s="8">
        <f t="shared" si="29"/>
        <v>0</v>
      </c>
      <c r="BW26" s="8">
        <f t="shared" si="30"/>
        <v>7.5</v>
      </c>
      <c r="BX26" s="8">
        <f t="shared" si="31"/>
        <v>7.5</v>
      </c>
      <c r="BY26" s="9"/>
      <c r="BZ26" s="9"/>
      <c r="CA26" s="9"/>
      <c r="CB26" s="8">
        <f t="shared" si="32"/>
        <v>0</v>
      </c>
      <c r="CC26" s="8">
        <f t="shared" si="33"/>
        <v>7.5</v>
      </c>
      <c r="CD26" s="8">
        <f t="shared" si="34"/>
        <v>7.5</v>
      </c>
      <c r="CE26" s="9"/>
      <c r="CF26" s="9"/>
      <c r="CG26" s="9"/>
      <c r="CH26" s="8">
        <f t="shared" si="35"/>
        <v>0</v>
      </c>
      <c r="CI26" s="8">
        <f t="shared" si="36"/>
        <v>7.5</v>
      </c>
      <c r="CJ26" s="8">
        <f t="shared" si="37"/>
        <v>7.5</v>
      </c>
      <c r="CK26" s="9"/>
      <c r="CL26" s="9"/>
      <c r="CM26" s="9"/>
      <c r="CN26" s="8">
        <f t="shared" si="38"/>
        <v>0</v>
      </c>
      <c r="CO26" s="8">
        <f t="shared" si="39"/>
        <v>7.5</v>
      </c>
      <c r="CP26" s="8">
        <f t="shared" si="40"/>
        <v>7.5</v>
      </c>
      <c r="CQ26" s="9"/>
      <c r="CR26" s="9"/>
      <c r="CS26" s="9"/>
      <c r="CT26" s="8">
        <f t="shared" si="41"/>
        <v>0</v>
      </c>
      <c r="CU26" s="8">
        <f t="shared" si="42"/>
        <v>7.5</v>
      </c>
      <c r="CV26" s="8">
        <f t="shared" si="43"/>
        <v>7.5</v>
      </c>
      <c r="CW26" s="9"/>
      <c r="CX26" s="9"/>
      <c r="CY26" s="9"/>
      <c r="CZ26" s="8">
        <f t="shared" si="44"/>
        <v>0</v>
      </c>
      <c r="DA26" s="8">
        <f t="shared" si="45"/>
        <v>7.5</v>
      </c>
      <c r="DB26" s="8">
        <f t="shared" si="46"/>
        <v>7.5</v>
      </c>
      <c r="DC26" s="9"/>
      <c r="DD26" s="9"/>
      <c r="DE26" s="9"/>
      <c r="DF26" s="8">
        <f t="shared" si="47"/>
        <v>0</v>
      </c>
      <c r="DG26" s="8">
        <f t="shared" si="48"/>
        <v>7.5</v>
      </c>
      <c r="DH26" s="8">
        <f t="shared" si="49"/>
        <v>7.5</v>
      </c>
      <c r="DI26" s="9"/>
      <c r="DJ26" s="9"/>
      <c r="DK26" s="9"/>
      <c r="DL26" s="8">
        <f t="shared" si="50"/>
        <v>0</v>
      </c>
      <c r="DM26" s="8">
        <f t="shared" si="51"/>
        <v>7.5</v>
      </c>
      <c r="DN26" s="8">
        <f t="shared" si="52"/>
        <v>7.5</v>
      </c>
      <c r="DO26" s="9"/>
      <c r="DP26" s="9"/>
      <c r="DQ26" s="9"/>
      <c r="DR26" s="8">
        <f t="shared" si="53"/>
        <v>0</v>
      </c>
      <c r="DS26" s="8">
        <f t="shared" si="54"/>
        <v>7.5</v>
      </c>
      <c r="DT26" s="8">
        <f t="shared" si="55"/>
        <v>7.5</v>
      </c>
      <c r="DU26" s="9"/>
      <c r="DV26" s="9"/>
      <c r="DW26" s="9"/>
      <c r="DX26" s="8">
        <f t="shared" si="56"/>
        <v>0</v>
      </c>
      <c r="DY26" s="8">
        <f t="shared" si="57"/>
        <v>7.5</v>
      </c>
      <c r="DZ26" s="8">
        <f t="shared" si="58"/>
        <v>7.5</v>
      </c>
      <c r="EA26" s="9"/>
      <c r="EB26" s="9"/>
      <c r="EC26" s="9"/>
      <c r="ED26" s="8">
        <f t="shared" si="59"/>
        <v>0</v>
      </c>
      <c r="EE26" s="8">
        <f t="shared" si="60"/>
        <v>7.5</v>
      </c>
      <c r="EF26" s="8">
        <f t="shared" si="61"/>
        <v>7.5</v>
      </c>
      <c r="EG26" s="9"/>
      <c r="EH26" s="9"/>
      <c r="EI26" s="9"/>
      <c r="EJ26" s="8">
        <f t="shared" si="62"/>
        <v>0</v>
      </c>
      <c r="EK26" s="8">
        <f t="shared" si="63"/>
        <v>7.5</v>
      </c>
      <c r="EL26" s="8">
        <f t="shared" si="64"/>
        <v>7.5</v>
      </c>
      <c r="EM26" s="9"/>
      <c r="EN26" s="9"/>
      <c r="EO26" s="9"/>
      <c r="EP26" s="8">
        <f t="shared" si="65"/>
        <v>0</v>
      </c>
      <c r="EQ26" s="8">
        <f t="shared" si="66"/>
        <v>7.5</v>
      </c>
      <c r="ER26" s="8">
        <f t="shared" si="67"/>
        <v>7.5</v>
      </c>
      <c r="ES26" s="9"/>
      <c r="ET26" s="9"/>
      <c r="EU26" s="9"/>
      <c r="EV26" s="8">
        <f t="shared" si="68"/>
        <v>0</v>
      </c>
      <c r="EW26" s="8">
        <f t="shared" si="69"/>
        <v>7.5</v>
      </c>
      <c r="EX26" s="8">
        <f t="shared" si="70"/>
        <v>7.5</v>
      </c>
      <c r="EY26" s="9"/>
      <c r="EZ26" s="9"/>
      <c r="FA26" s="9"/>
      <c r="FB26" s="8">
        <f t="shared" si="71"/>
        <v>0</v>
      </c>
      <c r="FC26" s="8">
        <f t="shared" si="72"/>
        <v>7.5</v>
      </c>
      <c r="FD26" s="8">
        <f t="shared" si="73"/>
        <v>7.5</v>
      </c>
      <c r="FE26" s="9"/>
      <c r="FF26" s="9"/>
      <c r="FG26" s="9"/>
      <c r="FH26" s="8">
        <f t="shared" si="74"/>
        <v>0</v>
      </c>
      <c r="FI26" s="8">
        <f t="shared" si="75"/>
        <v>7.5</v>
      </c>
      <c r="FJ26" s="8">
        <f t="shared" si="76"/>
        <v>7.5</v>
      </c>
      <c r="FK26" s="9"/>
      <c r="FL26" s="9"/>
      <c r="FM26" s="9"/>
      <c r="FN26" s="8">
        <f t="shared" si="77"/>
        <v>0</v>
      </c>
      <c r="FO26" s="8">
        <f t="shared" si="78"/>
        <v>7.5</v>
      </c>
      <c r="FP26" s="8">
        <f t="shared" si="79"/>
        <v>7.5</v>
      </c>
      <c r="FQ26" s="9"/>
      <c r="FR26" s="9"/>
      <c r="FS26" s="9"/>
      <c r="FT26" s="8">
        <f t="shared" si="80"/>
        <v>0</v>
      </c>
      <c r="FU26" s="8">
        <f t="shared" si="81"/>
        <v>7.5</v>
      </c>
      <c r="FV26" s="8">
        <f t="shared" si="82"/>
        <v>7.5</v>
      </c>
      <c r="FW26" s="9"/>
      <c r="FX26" s="9"/>
      <c r="FY26" s="9"/>
      <c r="FZ26" s="8">
        <f t="shared" si="83"/>
        <v>0</v>
      </c>
      <c r="GA26" s="8">
        <f t="shared" si="84"/>
        <v>7.5</v>
      </c>
      <c r="GB26" s="8">
        <f t="shared" si="85"/>
        <v>7.5</v>
      </c>
      <c r="GC26" s="9"/>
      <c r="GD26" s="9"/>
      <c r="GE26" s="9"/>
      <c r="GF26" s="8">
        <f t="shared" si="86"/>
        <v>0</v>
      </c>
      <c r="GG26" s="8">
        <f t="shared" si="87"/>
        <v>7.5</v>
      </c>
      <c r="GH26" s="8">
        <f t="shared" si="88"/>
        <v>7.5</v>
      </c>
      <c r="GI26" s="9"/>
      <c r="GJ26" s="9"/>
      <c r="GK26" s="9"/>
      <c r="GL26" s="8">
        <f t="shared" si="89"/>
        <v>0</v>
      </c>
      <c r="GM26" s="8">
        <f t="shared" si="90"/>
        <v>7.5</v>
      </c>
      <c r="GN26" s="10">
        <f t="shared" si="91"/>
        <v>0</v>
      </c>
      <c r="GO26" s="10">
        <f t="shared" si="92"/>
        <v>0</v>
      </c>
      <c r="GP26" s="10">
        <f t="shared" si="93"/>
        <v>0</v>
      </c>
      <c r="GQ26" s="11">
        <f t="shared" si="94"/>
        <v>0</v>
      </c>
      <c r="GR26" s="11">
        <f t="shared" si="95"/>
        <v>7.5</v>
      </c>
    </row>
    <row r="27" spans="1:200" ht="15.75" customHeight="1" x14ac:dyDescent="0.3">
      <c r="A27" s="6">
        <v>19</v>
      </c>
      <c r="B27" s="22" t="s">
        <v>283</v>
      </c>
      <c r="C27" s="20" t="s">
        <v>195</v>
      </c>
      <c r="D27" s="24" t="s">
        <v>362</v>
      </c>
      <c r="E27" s="16" t="s">
        <v>112</v>
      </c>
      <c r="F27" s="12" t="s">
        <v>375</v>
      </c>
      <c r="G27" s="12" t="s">
        <v>71</v>
      </c>
      <c r="H27" s="7" t="s">
        <v>70</v>
      </c>
      <c r="I27" s="8">
        <v>7.2</v>
      </c>
      <c r="J27" s="27">
        <v>7.2</v>
      </c>
      <c r="K27" s="9"/>
      <c r="L27" s="9"/>
      <c r="M27" s="9"/>
      <c r="N27" s="8">
        <f t="shared" si="0"/>
        <v>0</v>
      </c>
      <c r="O27" s="8">
        <f t="shared" si="96"/>
        <v>7.2</v>
      </c>
      <c r="P27" s="8">
        <f t="shared" si="1"/>
        <v>7.2</v>
      </c>
      <c r="Q27" s="9"/>
      <c r="R27" s="9"/>
      <c r="S27" s="9"/>
      <c r="T27" s="8">
        <f t="shared" si="2"/>
        <v>0</v>
      </c>
      <c r="U27" s="8">
        <f t="shared" si="3"/>
        <v>7.2</v>
      </c>
      <c r="V27" s="8">
        <f t="shared" si="4"/>
        <v>7.2</v>
      </c>
      <c r="W27" s="29"/>
      <c r="X27" s="29"/>
      <c r="Y27" s="29"/>
      <c r="Z27" s="8">
        <f t="shared" si="5"/>
        <v>0</v>
      </c>
      <c r="AA27" s="8">
        <f t="shared" si="6"/>
        <v>7.2</v>
      </c>
      <c r="AB27" s="8">
        <f t="shared" si="7"/>
        <v>7.2</v>
      </c>
      <c r="AC27" s="29"/>
      <c r="AD27" s="29"/>
      <c r="AE27" s="29"/>
      <c r="AF27" s="8">
        <f t="shared" si="8"/>
        <v>0</v>
      </c>
      <c r="AG27" s="8">
        <f t="shared" si="9"/>
        <v>7.2</v>
      </c>
      <c r="AH27" s="8">
        <f t="shared" si="10"/>
        <v>7.2</v>
      </c>
      <c r="AI27" s="29"/>
      <c r="AJ27" s="29"/>
      <c r="AK27" s="29"/>
      <c r="AL27" s="8">
        <f t="shared" si="11"/>
        <v>0</v>
      </c>
      <c r="AM27" s="8">
        <f t="shared" si="12"/>
        <v>7.2</v>
      </c>
      <c r="AN27" s="8">
        <f t="shared" si="13"/>
        <v>7.2</v>
      </c>
      <c r="AO27" s="9"/>
      <c r="AP27" s="9"/>
      <c r="AQ27" s="9"/>
      <c r="AR27" s="8">
        <f t="shared" si="14"/>
        <v>0</v>
      </c>
      <c r="AS27" s="8">
        <f t="shared" si="15"/>
        <v>7.2</v>
      </c>
      <c r="AT27" s="8">
        <f t="shared" si="16"/>
        <v>7.2</v>
      </c>
      <c r="AU27" s="9"/>
      <c r="AV27" s="9"/>
      <c r="AW27" s="9"/>
      <c r="AX27" s="8">
        <f t="shared" si="17"/>
        <v>0</v>
      </c>
      <c r="AY27" s="8">
        <f t="shared" si="18"/>
        <v>7.2</v>
      </c>
      <c r="AZ27" s="8">
        <f t="shared" si="19"/>
        <v>7.2</v>
      </c>
      <c r="BA27" s="9"/>
      <c r="BB27" s="9"/>
      <c r="BC27" s="9"/>
      <c r="BD27" s="8">
        <f t="shared" si="20"/>
        <v>0</v>
      </c>
      <c r="BE27" s="8">
        <f t="shared" si="21"/>
        <v>7.2</v>
      </c>
      <c r="BF27" s="8">
        <f t="shared" si="22"/>
        <v>7.2</v>
      </c>
      <c r="BG27" s="9"/>
      <c r="BH27" s="9"/>
      <c r="BI27" s="9"/>
      <c r="BJ27" s="8">
        <f t="shared" si="23"/>
        <v>0</v>
      </c>
      <c r="BK27" s="8">
        <f t="shared" si="24"/>
        <v>7.2</v>
      </c>
      <c r="BL27" s="8">
        <f t="shared" si="25"/>
        <v>7.2</v>
      </c>
      <c r="BM27" s="9"/>
      <c r="BN27" s="9">
        <v>0.09</v>
      </c>
      <c r="BO27" s="9">
        <v>0</v>
      </c>
      <c r="BP27" s="8">
        <f t="shared" si="26"/>
        <v>0.09</v>
      </c>
      <c r="BQ27" s="8">
        <f t="shared" si="27"/>
        <v>7.11</v>
      </c>
      <c r="BR27" s="8">
        <f t="shared" si="28"/>
        <v>7.11</v>
      </c>
      <c r="BS27" s="9"/>
      <c r="BT27" s="9"/>
      <c r="BU27" s="9"/>
      <c r="BV27" s="8">
        <f t="shared" si="29"/>
        <v>0</v>
      </c>
      <c r="BW27" s="8">
        <f t="shared" si="30"/>
        <v>7.11</v>
      </c>
      <c r="BX27" s="8">
        <f t="shared" si="31"/>
        <v>7.11</v>
      </c>
      <c r="BY27" s="9"/>
      <c r="BZ27" s="9"/>
      <c r="CA27" s="9"/>
      <c r="CB27" s="8">
        <f t="shared" si="32"/>
        <v>0</v>
      </c>
      <c r="CC27" s="8">
        <f t="shared" si="33"/>
        <v>7.11</v>
      </c>
      <c r="CD27" s="8">
        <f t="shared" si="34"/>
        <v>7.11</v>
      </c>
      <c r="CE27" s="9"/>
      <c r="CF27" s="9"/>
      <c r="CG27" s="9"/>
      <c r="CH27" s="8">
        <f t="shared" si="35"/>
        <v>0</v>
      </c>
      <c r="CI27" s="8">
        <f t="shared" si="36"/>
        <v>7.11</v>
      </c>
      <c r="CJ27" s="8">
        <f t="shared" si="37"/>
        <v>7.11</v>
      </c>
      <c r="CK27" s="9"/>
      <c r="CL27" s="9">
        <v>0.4</v>
      </c>
      <c r="CM27" s="9">
        <v>0</v>
      </c>
      <c r="CN27" s="8">
        <f t="shared" si="38"/>
        <v>0.4</v>
      </c>
      <c r="CO27" s="8">
        <f t="shared" si="39"/>
        <v>6.71</v>
      </c>
      <c r="CP27" s="8">
        <f t="shared" si="40"/>
        <v>6.71</v>
      </c>
      <c r="CQ27" s="9"/>
      <c r="CR27" s="9"/>
      <c r="CS27" s="9"/>
      <c r="CT27" s="8">
        <f t="shared" si="41"/>
        <v>0</v>
      </c>
      <c r="CU27" s="8">
        <f t="shared" si="42"/>
        <v>6.71</v>
      </c>
      <c r="CV27" s="8">
        <f t="shared" si="43"/>
        <v>6.71</v>
      </c>
      <c r="CW27" s="9"/>
      <c r="CX27" s="9"/>
      <c r="CY27" s="9"/>
      <c r="CZ27" s="8">
        <f t="shared" si="44"/>
        <v>0</v>
      </c>
      <c r="DA27" s="8">
        <f t="shared" si="45"/>
        <v>6.71</v>
      </c>
      <c r="DB27" s="8">
        <f t="shared" si="46"/>
        <v>6.71</v>
      </c>
      <c r="DC27" s="9"/>
      <c r="DD27" s="9"/>
      <c r="DE27" s="9"/>
      <c r="DF27" s="8">
        <f t="shared" si="47"/>
        <v>0</v>
      </c>
      <c r="DG27" s="8">
        <f t="shared" si="48"/>
        <v>6.71</v>
      </c>
      <c r="DH27" s="8">
        <f t="shared" si="49"/>
        <v>6.71</v>
      </c>
      <c r="DI27" s="9"/>
      <c r="DJ27" s="9"/>
      <c r="DK27" s="9"/>
      <c r="DL27" s="8">
        <f t="shared" si="50"/>
        <v>0</v>
      </c>
      <c r="DM27" s="8">
        <f t="shared" si="51"/>
        <v>6.71</v>
      </c>
      <c r="DN27" s="8">
        <f t="shared" si="52"/>
        <v>6.71</v>
      </c>
      <c r="DO27" s="9"/>
      <c r="DP27" s="9"/>
      <c r="DQ27" s="9"/>
      <c r="DR27" s="8">
        <f t="shared" si="53"/>
        <v>0</v>
      </c>
      <c r="DS27" s="8">
        <f t="shared" si="54"/>
        <v>6.71</v>
      </c>
      <c r="DT27" s="8">
        <f t="shared" si="55"/>
        <v>6.71</v>
      </c>
      <c r="DU27" s="9"/>
      <c r="DV27" s="9"/>
      <c r="DW27" s="9"/>
      <c r="DX27" s="8">
        <f t="shared" si="56"/>
        <v>0</v>
      </c>
      <c r="DY27" s="8">
        <f t="shared" si="57"/>
        <v>6.71</v>
      </c>
      <c r="DZ27" s="8">
        <f t="shared" si="58"/>
        <v>6.71</v>
      </c>
      <c r="EA27" s="9"/>
      <c r="EB27" s="9"/>
      <c r="EC27" s="9"/>
      <c r="ED27" s="8">
        <f t="shared" si="59"/>
        <v>0</v>
      </c>
      <c r="EE27" s="8">
        <f t="shared" si="60"/>
        <v>6.71</v>
      </c>
      <c r="EF27" s="8">
        <f t="shared" si="61"/>
        <v>6.71</v>
      </c>
      <c r="EG27" s="9"/>
      <c r="EH27" s="9"/>
      <c r="EI27" s="9"/>
      <c r="EJ27" s="8">
        <f t="shared" si="62"/>
        <v>0</v>
      </c>
      <c r="EK27" s="8">
        <f t="shared" si="63"/>
        <v>6.71</v>
      </c>
      <c r="EL27" s="8">
        <f t="shared" si="64"/>
        <v>6.71</v>
      </c>
      <c r="EM27" s="9"/>
      <c r="EN27" s="9"/>
      <c r="EO27" s="9"/>
      <c r="EP27" s="8">
        <f t="shared" si="65"/>
        <v>0</v>
      </c>
      <c r="EQ27" s="8">
        <f t="shared" si="66"/>
        <v>6.71</v>
      </c>
      <c r="ER27" s="8">
        <f t="shared" si="67"/>
        <v>6.71</v>
      </c>
      <c r="ES27" s="9"/>
      <c r="ET27" s="9"/>
      <c r="EU27" s="9"/>
      <c r="EV27" s="8">
        <f t="shared" si="68"/>
        <v>0</v>
      </c>
      <c r="EW27" s="8">
        <f t="shared" si="69"/>
        <v>6.71</v>
      </c>
      <c r="EX27" s="8">
        <f t="shared" si="70"/>
        <v>6.71</v>
      </c>
      <c r="EY27" s="9"/>
      <c r="EZ27" s="9"/>
      <c r="FA27" s="9"/>
      <c r="FB27" s="8">
        <f t="shared" si="71"/>
        <v>0</v>
      </c>
      <c r="FC27" s="8">
        <f t="shared" si="72"/>
        <v>6.71</v>
      </c>
      <c r="FD27" s="8">
        <f t="shared" si="73"/>
        <v>6.71</v>
      </c>
      <c r="FE27" s="9"/>
      <c r="FF27" s="9"/>
      <c r="FG27" s="9"/>
      <c r="FH27" s="8">
        <f t="shared" si="74"/>
        <v>0</v>
      </c>
      <c r="FI27" s="8">
        <f t="shared" si="75"/>
        <v>6.71</v>
      </c>
      <c r="FJ27" s="8">
        <f t="shared" si="76"/>
        <v>6.71</v>
      </c>
      <c r="FK27" s="9"/>
      <c r="FL27" s="9"/>
      <c r="FM27" s="9"/>
      <c r="FN27" s="8">
        <f t="shared" si="77"/>
        <v>0</v>
      </c>
      <c r="FO27" s="8">
        <f t="shared" si="78"/>
        <v>6.71</v>
      </c>
      <c r="FP27" s="8">
        <f t="shared" si="79"/>
        <v>6.71</v>
      </c>
      <c r="FQ27" s="9"/>
      <c r="FR27" s="9"/>
      <c r="FS27" s="9"/>
      <c r="FT27" s="8">
        <f t="shared" si="80"/>
        <v>0</v>
      </c>
      <c r="FU27" s="8">
        <f t="shared" si="81"/>
        <v>6.71</v>
      </c>
      <c r="FV27" s="8">
        <f t="shared" si="82"/>
        <v>6.71</v>
      </c>
      <c r="FW27" s="9"/>
      <c r="FX27" s="9"/>
      <c r="FY27" s="9"/>
      <c r="FZ27" s="8">
        <f t="shared" si="83"/>
        <v>0</v>
      </c>
      <c r="GA27" s="8">
        <f t="shared" si="84"/>
        <v>6.71</v>
      </c>
      <c r="GB27" s="8">
        <f t="shared" si="85"/>
        <v>6.71</v>
      </c>
      <c r="GC27" s="9"/>
      <c r="GD27" s="9"/>
      <c r="GE27" s="9"/>
      <c r="GF27" s="8">
        <f t="shared" si="86"/>
        <v>0</v>
      </c>
      <c r="GG27" s="8">
        <f t="shared" si="87"/>
        <v>6.71</v>
      </c>
      <c r="GH27" s="8">
        <f t="shared" si="88"/>
        <v>6.71</v>
      </c>
      <c r="GI27" s="9"/>
      <c r="GJ27" s="9"/>
      <c r="GK27" s="9"/>
      <c r="GL27" s="8">
        <f t="shared" si="89"/>
        <v>0</v>
      </c>
      <c r="GM27" s="8">
        <f t="shared" si="90"/>
        <v>6.71</v>
      </c>
      <c r="GN27" s="10">
        <f t="shared" si="91"/>
        <v>0</v>
      </c>
      <c r="GO27" s="10">
        <f t="shared" si="92"/>
        <v>0.49</v>
      </c>
      <c r="GP27" s="10">
        <f t="shared" si="93"/>
        <v>0</v>
      </c>
      <c r="GQ27" s="11">
        <f t="shared" si="94"/>
        <v>0.49</v>
      </c>
      <c r="GR27" s="11">
        <f t="shared" si="95"/>
        <v>6.71</v>
      </c>
    </row>
    <row r="28" spans="1:200" ht="15.75" customHeight="1" x14ac:dyDescent="0.3">
      <c r="A28" s="6">
        <v>20</v>
      </c>
      <c r="B28" s="22" t="s">
        <v>284</v>
      </c>
      <c r="C28" s="20" t="s">
        <v>400</v>
      </c>
      <c r="D28" s="24" t="s">
        <v>362</v>
      </c>
      <c r="E28" s="16" t="s">
        <v>113</v>
      </c>
      <c r="F28" s="12" t="s">
        <v>375</v>
      </c>
      <c r="G28" s="12" t="s">
        <v>71</v>
      </c>
      <c r="H28" s="7" t="s">
        <v>70</v>
      </c>
      <c r="I28" s="8">
        <v>4.7299999999999995</v>
      </c>
      <c r="J28" s="27">
        <v>4.7300000000000004</v>
      </c>
      <c r="K28" s="9"/>
      <c r="L28" s="9">
        <v>0.1</v>
      </c>
      <c r="M28" s="9">
        <v>0</v>
      </c>
      <c r="N28" s="8">
        <f t="shared" si="0"/>
        <v>0.1</v>
      </c>
      <c r="O28" s="8">
        <f t="shared" si="96"/>
        <v>4.6300000000000008</v>
      </c>
      <c r="P28" s="8">
        <f t="shared" si="1"/>
        <v>4.6300000000000008</v>
      </c>
      <c r="Q28" s="9"/>
      <c r="R28" s="9"/>
      <c r="S28" s="9"/>
      <c r="T28" s="8">
        <f t="shared" si="2"/>
        <v>0</v>
      </c>
      <c r="U28" s="8">
        <f t="shared" si="3"/>
        <v>4.6300000000000008</v>
      </c>
      <c r="V28" s="8">
        <f t="shared" si="4"/>
        <v>4.6300000000000008</v>
      </c>
      <c r="W28" s="29"/>
      <c r="X28" s="29">
        <v>7.0000000000000007E-2</v>
      </c>
      <c r="Y28" s="29">
        <v>0</v>
      </c>
      <c r="Z28" s="8">
        <f t="shared" si="5"/>
        <v>7.0000000000000007E-2</v>
      </c>
      <c r="AA28" s="8">
        <f t="shared" si="6"/>
        <v>4.5600000000000005</v>
      </c>
      <c r="AB28" s="8">
        <f t="shared" si="7"/>
        <v>4.5600000000000005</v>
      </c>
      <c r="AC28" s="29"/>
      <c r="AD28" s="29"/>
      <c r="AE28" s="29"/>
      <c r="AF28" s="8">
        <f t="shared" si="8"/>
        <v>0</v>
      </c>
      <c r="AG28" s="8">
        <f t="shared" si="9"/>
        <v>4.5600000000000005</v>
      </c>
      <c r="AH28" s="8">
        <f t="shared" si="10"/>
        <v>4.5600000000000005</v>
      </c>
      <c r="AI28" s="29"/>
      <c r="AJ28" s="29"/>
      <c r="AK28" s="29"/>
      <c r="AL28" s="8">
        <f t="shared" si="11"/>
        <v>0</v>
      </c>
      <c r="AM28" s="8">
        <f t="shared" si="12"/>
        <v>4.5600000000000005</v>
      </c>
      <c r="AN28" s="8">
        <f t="shared" si="13"/>
        <v>4.5600000000000005</v>
      </c>
      <c r="AO28" s="9"/>
      <c r="AP28" s="9"/>
      <c r="AQ28" s="9"/>
      <c r="AR28" s="8">
        <f t="shared" si="14"/>
        <v>0</v>
      </c>
      <c r="AS28" s="8">
        <f t="shared" si="15"/>
        <v>4.5600000000000005</v>
      </c>
      <c r="AT28" s="8">
        <f t="shared" si="16"/>
        <v>4.5600000000000005</v>
      </c>
      <c r="AU28" s="9"/>
      <c r="AV28" s="9"/>
      <c r="AW28" s="9"/>
      <c r="AX28" s="8">
        <f t="shared" si="17"/>
        <v>0</v>
      </c>
      <c r="AY28" s="8">
        <f t="shared" si="18"/>
        <v>4.5600000000000005</v>
      </c>
      <c r="AZ28" s="8">
        <f t="shared" si="19"/>
        <v>4.5600000000000005</v>
      </c>
      <c r="BA28" s="9"/>
      <c r="BB28" s="9"/>
      <c r="BC28" s="9"/>
      <c r="BD28" s="8">
        <f t="shared" si="20"/>
        <v>0</v>
      </c>
      <c r="BE28" s="8">
        <f t="shared" si="21"/>
        <v>4.5600000000000005</v>
      </c>
      <c r="BF28" s="8">
        <f t="shared" si="22"/>
        <v>4.5600000000000005</v>
      </c>
      <c r="BG28" s="9"/>
      <c r="BH28" s="9"/>
      <c r="BI28" s="9"/>
      <c r="BJ28" s="8">
        <f t="shared" si="23"/>
        <v>0</v>
      </c>
      <c r="BK28" s="8">
        <f t="shared" si="24"/>
        <v>4.5600000000000005</v>
      </c>
      <c r="BL28" s="8">
        <f t="shared" si="25"/>
        <v>4.5600000000000005</v>
      </c>
      <c r="BM28" s="9"/>
      <c r="BN28" s="9"/>
      <c r="BO28" s="9"/>
      <c r="BP28" s="8">
        <f t="shared" si="26"/>
        <v>0</v>
      </c>
      <c r="BQ28" s="8">
        <f t="shared" si="27"/>
        <v>4.5600000000000005</v>
      </c>
      <c r="BR28" s="8">
        <f t="shared" si="28"/>
        <v>4.5600000000000005</v>
      </c>
      <c r="BS28" s="9"/>
      <c r="BT28" s="9"/>
      <c r="BU28" s="9"/>
      <c r="BV28" s="8">
        <f t="shared" si="29"/>
        <v>0</v>
      </c>
      <c r="BW28" s="8">
        <f t="shared" si="30"/>
        <v>4.5600000000000005</v>
      </c>
      <c r="BX28" s="8">
        <f t="shared" si="31"/>
        <v>4.5600000000000005</v>
      </c>
      <c r="BY28" s="9"/>
      <c r="BZ28" s="9"/>
      <c r="CA28" s="9"/>
      <c r="CB28" s="8">
        <f t="shared" si="32"/>
        <v>0</v>
      </c>
      <c r="CC28" s="8">
        <f t="shared" si="33"/>
        <v>4.5600000000000005</v>
      </c>
      <c r="CD28" s="8">
        <f t="shared" si="34"/>
        <v>4.5600000000000005</v>
      </c>
      <c r="CE28" s="9"/>
      <c r="CF28" s="9"/>
      <c r="CG28" s="9"/>
      <c r="CH28" s="8">
        <f t="shared" si="35"/>
        <v>0</v>
      </c>
      <c r="CI28" s="8">
        <f t="shared" si="36"/>
        <v>4.5600000000000005</v>
      </c>
      <c r="CJ28" s="8">
        <f t="shared" si="37"/>
        <v>4.5600000000000005</v>
      </c>
      <c r="CK28" s="9"/>
      <c r="CL28" s="9"/>
      <c r="CM28" s="9"/>
      <c r="CN28" s="8">
        <f t="shared" si="38"/>
        <v>0</v>
      </c>
      <c r="CO28" s="8">
        <f t="shared" si="39"/>
        <v>4.5600000000000005</v>
      </c>
      <c r="CP28" s="8">
        <f t="shared" si="40"/>
        <v>4.5600000000000005</v>
      </c>
      <c r="CQ28" s="9"/>
      <c r="CR28" s="9"/>
      <c r="CS28" s="9"/>
      <c r="CT28" s="8">
        <f t="shared" si="41"/>
        <v>0</v>
      </c>
      <c r="CU28" s="8">
        <f t="shared" si="42"/>
        <v>4.5600000000000005</v>
      </c>
      <c r="CV28" s="8">
        <f t="shared" si="43"/>
        <v>4.5600000000000005</v>
      </c>
      <c r="CW28" s="9"/>
      <c r="CX28" s="9"/>
      <c r="CY28" s="9"/>
      <c r="CZ28" s="8">
        <f t="shared" si="44"/>
        <v>0</v>
      </c>
      <c r="DA28" s="8">
        <f t="shared" si="45"/>
        <v>4.5600000000000005</v>
      </c>
      <c r="DB28" s="8">
        <f t="shared" si="46"/>
        <v>4.5600000000000005</v>
      </c>
      <c r="DC28" s="9"/>
      <c r="DD28" s="9"/>
      <c r="DE28" s="9"/>
      <c r="DF28" s="8">
        <f t="shared" si="47"/>
        <v>0</v>
      </c>
      <c r="DG28" s="8">
        <f t="shared" si="48"/>
        <v>4.5600000000000005</v>
      </c>
      <c r="DH28" s="8">
        <f t="shared" si="49"/>
        <v>4.5600000000000005</v>
      </c>
      <c r="DI28" s="9"/>
      <c r="DJ28" s="9"/>
      <c r="DK28" s="9"/>
      <c r="DL28" s="8">
        <f t="shared" si="50"/>
        <v>0</v>
      </c>
      <c r="DM28" s="8">
        <f t="shared" si="51"/>
        <v>4.5600000000000005</v>
      </c>
      <c r="DN28" s="8">
        <f t="shared" si="52"/>
        <v>4.5600000000000005</v>
      </c>
      <c r="DO28" s="9"/>
      <c r="DP28" s="9"/>
      <c r="DQ28" s="9"/>
      <c r="DR28" s="8">
        <f t="shared" si="53"/>
        <v>0</v>
      </c>
      <c r="DS28" s="8">
        <f t="shared" si="54"/>
        <v>4.5600000000000005</v>
      </c>
      <c r="DT28" s="8">
        <f t="shared" si="55"/>
        <v>4.5600000000000005</v>
      </c>
      <c r="DU28" s="9"/>
      <c r="DV28" s="9"/>
      <c r="DW28" s="9"/>
      <c r="DX28" s="8">
        <f t="shared" si="56"/>
        <v>0</v>
      </c>
      <c r="DY28" s="8">
        <f t="shared" si="57"/>
        <v>4.5600000000000005</v>
      </c>
      <c r="DZ28" s="8">
        <f t="shared" si="58"/>
        <v>4.5600000000000005</v>
      </c>
      <c r="EA28" s="9"/>
      <c r="EB28" s="9"/>
      <c r="EC28" s="9"/>
      <c r="ED28" s="8">
        <f t="shared" si="59"/>
        <v>0</v>
      </c>
      <c r="EE28" s="8">
        <f t="shared" si="60"/>
        <v>4.5600000000000005</v>
      </c>
      <c r="EF28" s="8">
        <f t="shared" si="61"/>
        <v>4.5600000000000005</v>
      </c>
      <c r="EG28" s="9"/>
      <c r="EH28" s="9"/>
      <c r="EI28" s="9"/>
      <c r="EJ28" s="8">
        <f t="shared" si="62"/>
        <v>0</v>
      </c>
      <c r="EK28" s="8">
        <f t="shared" si="63"/>
        <v>4.5600000000000005</v>
      </c>
      <c r="EL28" s="8">
        <f t="shared" si="64"/>
        <v>4.5600000000000005</v>
      </c>
      <c r="EM28" s="9"/>
      <c r="EN28" s="9"/>
      <c r="EO28" s="9"/>
      <c r="EP28" s="8">
        <f t="shared" si="65"/>
        <v>0</v>
      </c>
      <c r="EQ28" s="8">
        <f t="shared" si="66"/>
        <v>4.5600000000000005</v>
      </c>
      <c r="ER28" s="8">
        <f t="shared" si="67"/>
        <v>4.5600000000000005</v>
      </c>
      <c r="ES28" s="9"/>
      <c r="ET28" s="9"/>
      <c r="EU28" s="9"/>
      <c r="EV28" s="8">
        <f t="shared" si="68"/>
        <v>0</v>
      </c>
      <c r="EW28" s="8">
        <f t="shared" si="69"/>
        <v>4.5600000000000005</v>
      </c>
      <c r="EX28" s="8">
        <f t="shared" si="70"/>
        <v>4.5600000000000005</v>
      </c>
      <c r="EY28" s="9"/>
      <c r="EZ28" s="9"/>
      <c r="FA28" s="9"/>
      <c r="FB28" s="8">
        <f t="shared" si="71"/>
        <v>0</v>
      </c>
      <c r="FC28" s="8">
        <f t="shared" si="72"/>
        <v>4.5600000000000005</v>
      </c>
      <c r="FD28" s="8">
        <f t="shared" si="73"/>
        <v>4.5600000000000005</v>
      </c>
      <c r="FE28" s="9"/>
      <c r="FF28" s="9"/>
      <c r="FG28" s="9"/>
      <c r="FH28" s="8">
        <f t="shared" si="74"/>
        <v>0</v>
      </c>
      <c r="FI28" s="8">
        <f t="shared" si="75"/>
        <v>4.5600000000000005</v>
      </c>
      <c r="FJ28" s="8">
        <f t="shared" si="76"/>
        <v>4.5600000000000005</v>
      </c>
      <c r="FK28" s="9"/>
      <c r="FL28" s="9"/>
      <c r="FM28" s="9"/>
      <c r="FN28" s="8">
        <f t="shared" si="77"/>
        <v>0</v>
      </c>
      <c r="FO28" s="8">
        <f t="shared" si="78"/>
        <v>4.5600000000000005</v>
      </c>
      <c r="FP28" s="8">
        <f t="shared" si="79"/>
        <v>4.5600000000000005</v>
      </c>
      <c r="FQ28" s="9"/>
      <c r="FR28" s="9"/>
      <c r="FS28" s="9"/>
      <c r="FT28" s="8">
        <f t="shared" si="80"/>
        <v>0</v>
      </c>
      <c r="FU28" s="8">
        <f t="shared" si="81"/>
        <v>4.5600000000000005</v>
      </c>
      <c r="FV28" s="8">
        <f t="shared" si="82"/>
        <v>4.5600000000000005</v>
      </c>
      <c r="FW28" s="9"/>
      <c r="FX28" s="9"/>
      <c r="FY28" s="9"/>
      <c r="FZ28" s="8">
        <f t="shared" si="83"/>
        <v>0</v>
      </c>
      <c r="GA28" s="8">
        <f t="shared" si="84"/>
        <v>4.5600000000000005</v>
      </c>
      <c r="GB28" s="8">
        <f t="shared" si="85"/>
        <v>4.5600000000000005</v>
      </c>
      <c r="GC28" s="9"/>
      <c r="GD28" s="9"/>
      <c r="GE28" s="9"/>
      <c r="GF28" s="8">
        <f t="shared" si="86"/>
        <v>0</v>
      </c>
      <c r="GG28" s="8">
        <f t="shared" si="87"/>
        <v>4.5600000000000005</v>
      </c>
      <c r="GH28" s="8">
        <f t="shared" si="88"/>
        <v>4.5600000000000005</v>
      </c>
      <c r="GI28" s="9"/>
      <c r="GJ28" s="9"/>
      <c r="GK28" s="9"/>
      <c r="GL28" s="8">
        <f t="shared" si="89"/>
        <v>0</v>
      </c>
      <c r="GM28" s="8">
        <f t="shared" si="90"/>
        <v>4.5600000000000005</v>
      </c>
      <c r="GN28" s="10">
        <f t="shared" si="91"/>
        <v>0</v>
      </c>
      <c r="GO28" s="10">
        <f t="shared" si="92"/>
        <v>0.17</v>
      </c>
      <c r="GP28" s="10">
        <f t="shared" si="93"/>
        <v>0</v>
      </c>
      <c r="GQ28" s="11">
        <f t="shared" si="94"/>
        <v>0.17</v>
      </c>
      <c r="GR28" s="11">
        <f t="shared" si="95"/>
        <v>4.5600000000000005</v>
      </c>
    </row>
    <row r="29" spans="1:200" ht="15.75" customHeight="1" x14ac:dyDescent="0.3">
      <c r="A29" s="6">
        <v>21</v>
      </c>
      <c r="B29" s="22" t="s">
        <v>285</v>
      </c>
      <c r="C29" s="20" t="s">
        <v>196</v>
      </c>
      <c r="D29" s="24" t="s">
        <v>362</v>
      </c>
      <c r="E29" s="16" t="s">
        <v>114</v>
      </c>
      <c r="F29" s="12" t="s">
        <v>375</v>
      </c>
      <c r="G29" s="12" t="s">
        <v>71</v>
      </c>
      <c r="H29" s="7" t="s">
        <v>70</v>
      </c>
      <c r="I29" s="8">
        <v>5.8579999999999997</v>
      </c>
      <c r="J29" s="27">
        <v>5.86</v>
      </c>
      <c r="K29" s="9"/>
      <c r="L29" s="9"/>
      <c r="M29" s="9"/>
      <c r="N29" s="8">
        <f t="shared" si="0"/>
        <v>0</v>
      </c>
      <c r="O29" s="8">
        <f t="shared" si="96"/>
        <v>5.86</v>
      </c>
      <c r="P29" s="8">
        <f t="shared" si="1"/>
        <v>5.86</v>
      </c>
      <c r="Q29" s="9"/>
      <c r="R29" s="9"/>
      <c r="S29" s="9"/>
      <c r="T29" s="8">
        <f t="shared" si="2"/>
        <v>0</v>
      </c>
      <c r="U29" s="8">
        <f t="shared" si="3"/>
        <v>5.86</v>
      </c>
      <c r="V29" s="8">
        <f t="shared" si="4"/>
        <v>5.86</v>
      </c>
      <c r="W29" s="29"/>
      <c r="X29" s="29"/>
      <c r="Y29" s="29"/>
      <c r="Z29" s="8">
        <f t="shared" si="5"/>
        <v>0</v>
      </c>
      <c r="AA29" s="8">
        <f t="shared" si="6"/>
        <v>5.86</v>
      </c>
      <c r="AB29" s="8">
        <f t="shared" si="7"/>
        <v>5.86</v>
      </c>
      <c r="AC29" s="29"/>
      <c r="AD29" s="29">
        <v>0.01</v>
      </c>
      <c r="AE29" s="29">
        <v>0</v>
      </c>
      <c r="AF29" s="8">
        <f t="shared" si="8"/>
        <v>0.01</v>
      </c>
      <c r="AG29" s="8">
        <f t="shared" si="9"/>
        <v>5.8500000000000005</v>
      </c>
      <c r="AH29" s="8">
        <f t="shared" si="10"/>
        <v>5.8500000000000005</v>
      </c>
      <c r="AI29" s="29"/>
      <c r="AJ29" s="29">
        <v>0</v>
      </c>
      <c r="AK29" s="29">
        <v>0</v>
      </c>
      <c r="AL29" s="8">
        <f t="shared" si="11"/>
        <v>0</v>
      </c>
      <c r="AM29" s="8">
        <f t="shared" si="12"/>
        <v>5.8500000000000005</v>
      </c>
      <c r="AN29" s="8">
        <f t="shared" si="13"/>
        <v>5.8500000000000005</v>
      </c>
      <c r="AO29" s="9"/>
      <c r="AP29" s="9"/>
      <c r="AQ29" s="9"/>
      <c r="AR29" s="8">
        <f t="shared" si="14"/>
        <v>0</v>
      </c>
      <c r="AS29" s="8">
        <f t="shared" si="15"/>
        <v>5.8500000000000005</v>
      </c>
      <c r="AT29" s="8">
        <f t="shared" si="16"/>
        <v>5.8500000000000005</v>
      </c>
      <c r="AU29" s="9"/>
      <c r="AV29" s="9">
        <v>0.05</v>
      </c>
      <c r="AW29" s="9">
        <v>0</v>
      </c>
      <c r="AX29" s="8">
        <f t="shared" si="17"/>
        <v>0.05</v>
      </c>
      <c r="AY29" s="8">
        <f t="shared" si="18"/>
        <v>5.8000000000000007</v>
      </c>
      <c r="AZ29" s="8">
        <f t="shared" si="19"/>
        <v>5.8000000000000007</v>
      </c>
      <c r="BA29" s="9"/>
      <c r="BB29" s="9"/>
      <c r="BC29" s="9"/>
      <c r="BD29" s="8">
        <f t="shared" si="20"/>
        <v>0</v>
      </c>
      <c r="BE29" s="8">
        <f t="shared" si="21"/>
        <v>5.8000000000000007</v>
      </c>
      <c r="BF29" s="8">
        <f t="shared" si="22"/>
        <v>5.8000000000000007</v>
      </c>
      <c r="BG29" s="9"/>
      <c r="BH29" s="9"/>
      <c r="BI29" s="9"/>
      <c r="BJ29" s="8">
        <f t="shared" si="23"/>
        <v>0</v>
      </c>
      <c r="BK29" s="8">
        <f t="shared" si="24"/>
        <v>5.8000000000000007</v>
      </c>
      <c r="BL29" s="8">
        <f t="shared" si="25"/>
        <v>5.8000000000000007</v>
      </c>
      <c r="BM29" s="9"/>
      <c r="BN29" s="9"/>
      <c r="BO29" s="9"/>
      <c r="BP29" s="8">
        <f t="shared" si="26"/>
        <v>0</v>
      </c>
      <c r="BQ29" s="8">
        <f t="shared" si="27"/>
        <v>5.8000000000000007</v>
      </c>
      <c r="BR29" s="8">
        <f t="shared" si="28"/>
        <v>5.8000000000000007</v>
      </c>
      <c r="BS29" s="9"/>
      <c r="BT29" s="9"/>
      <c r="BU29" s="9"/>
      <c r="BV29" s="8">
        <f t="shared" si="29"/>
        <v>0</v>
      </c>
      <c r="BW29" s="8">
        <f t="shared" si="30"/>
        <v>5.8000000000000007</v>
      </c>
      <c r="BX29" s="8">
        <f t="shared" si="31"/>
        <v>5.8000000000000007</v>
      </c>
      <c r="BY29" s="9"/>
      <c r="BZ29" s="9"/>
      <c r="CA29" s="9"/>
      <c r="CB29" s="8">
        <f t="shared" si="32"/>
        <v>0</v>
      </c>
      <c r="CC29" s="8">
        <f t="shared" si="33"/>
        <v>5.8000000000000007</v>
      </c>
      <c r="CD29" s="8">
        <f t="shared" si="34"/>
        <v>5.8000000000000007</v>
      </c>
      <c r="CE29" s="9"/>
      <c r="CF29" s="9"/>
      <c r="CG29" s="9"/>
      <c r="CH29" s="8">
        <f t="shared" si="35"/>
        <v>0</v>
      </c>
      <c r="CI29" s="8">
        <f t="shared" si="36"/>
        <v>5.8000000000000007</v>
      </c>
      <c r="CJ29" s="8">
        <f t="shared" si="37"/>
        <v>5.8000000000000007</v>
      </c>
      <c r="CK29" s="9"/>
      <c r="CL29" s="9">
        <v>1.9E-2</v>
      </c>
      <c r="CM29" s="9">
        <v>0</v>
      </c>
      <c r="CN29" s="8">
        <f t="shared" si="38"/>
        <v>1.9E-2</v>
      </c>
      <c r="CO29" s="8">
        <f t="shared" si="39"/>
        <v>5.7810000000000006</v>
      </c>
      <c r="CP29" s="8">
        <f t="shared" si="40"/>
        <v>5.7810000000000006</v>
      </c>
      <c r="CQ29" s="9"/>
      <c r="CR29" s="9"/>
      <c r="CS29" s="9"/>
      <c r="CT29" s="8">
        <f t="shared" si="41"/>
        <v>0</v>
      </c>
      <c r="CU29" s="8">
        <f t="shared" si="42"/>
        <v>5.7810000000000006</v>
      </c>
      <c r="CV29" s="8">
        <f t="shared" si="43"/>
        <v>5.7810000000000006</v>
      </c>
      <c r="CW29" s="9"/>
      <c r="CX29" s="9"/>
      <c r="CY29" s="9"/>
      <c r="CZ29" s="8">
        <f t="shared" si="44"/>
        <v>0</v>
      </c>
      <c r="DA29" s="8">
        <f t="shared" si="45"/>
        <v>5.7810000000000006</v>
      </c>
      <c r="DB29" s="8">
        <f t="shared" si="46"/>
        <v>5.7810000000000006</v>
      </c>
      <c r="DC29" s="9"/>
      <c r="DD29" s="9"/>
      <c r="DE29" s="9"/>
      <c r="DF29" s="8">
        <f t="shared" si="47"/>
        <v>0</v>
      </c>
      <c r="DG29" s="8">
        <f t="shared" si="48"/>
        <v>5.7810000000000006</v>
      </c>
      <c r="DH29" s="8">
        <f t="shared" si="49"/>
        <v>5.7810000000000006</v>
      </c>
      <c r="DI29" s="9"/>
      <c r="DJ29" s="9"/>
      <c r="DK29" s="9"/>
      <c r="DL29" s="8">
        <f t="shared" si="50"/>
        <v>0</v>
      </c>
      <c r="DM29" s="8">
        <f t="shared" si="51"/>
        <v>5.7810000000000006</v>
      </c>
      <c r="DN29" s="8">
        <f t="shared" si="52"/>
        <v>5.7810000000000006</v>
      </c>
      <c r="DO29" s="9"/>
      <c r="DP29" s="9"/>
      <c r="DQ29" s="9"/>
      <c r="DR29" s="8">
        <f t="shared" si="53"/>
        <v>0</v>
      </c>
      <c r="DS29" s="8">
        <f t="shared" si="54"/>
        <v>5.7810000000000006</v>
      </c>
      <c r="DT29" s="8">
        <f t="shared" si="55"/>
        <v>5.7810000000000006</v>
      </c>
      <c r="DU29" s="9"/>
      <c r="DV29" s="9"/>
      <c r="DW29" s="9"/>
      <c r="DX29" s="8">
        <f t="shared" si="56"/>
        <v>0</v>
      </c>
      <c r="DY29" s="8">
        <f t="shared" si="57"/>
        <v>5.7810000000000006</v>
      </c>
      <c r="DZ29" s="8">
        <f t="shared" si="58"/>
        <v>5.7810000000000006</v>
      </c>
      <c r="EA29" s="9"/>
      <c r="EB29" s="9"/>
      <c r="EC29" s="9"/>
      <c r="ED29" s="8">
        <f t="shared" si="59"/>
        <v>0</v>
      </c>
      <c r="EE29" s="8">
        <f t="shared" si="60"/>
        <v>5.7810000000000006</v>
      </c>
      <c r="EF29" s="8">
        <f t="shared" si="61"/>
        <v>5.7810000000000006</v>
      </c>
      <c r="EG29" s="9"/>
      <c r="EH29" s="9"/>
      <c r="EI29" s="9"/>
      <c r="EJ29" s="8">
        <f t="shared" si="62"/>
        <v>0</v>
      </c>
      <c r="EK29" s="8">
        <f t="shared" si="63"/>
        <v>5.7810000000000006</v>
      </c>
      <c r="EL29" s="8">
        <f t="shared" si="64"/>
        <v>5.7810000000000006</v>
      </c>
      <c r="EM29" s="9"/>
      <c r="EN29" s="9"/>
      <c r="EO29" s="9"/>
      <c r="EP29" s="8">
        <f t="shared" si="65"/>
        <v>0</v>
      </c>
      <c r="EQ29" s="8">
        <f t="shared" si="66"/>
        <v>5.7810000000000006</v>
      </c>
      <c r="ER29" s="8">
        <f t="shared" si="67"/>
        <v>5.7810000000000006</v>
      </c>
      <c r="ES29" s="9"/>
      <c r="ET29" s="9"/>
      <c r="EU29" s="9"/>
      <c r="EV29" s="8">
        <f t="shared" si="68"/>
        <v>0</v>
      </c>
      <c r="EW29" s="8">
        <f t="shared" si="69"/>
        <v>5.7810000000000006</v>
      </c>
      <c r="EX29" s="8">
        <f t="shared" si="70"/>
        <v>5.7810000000000006</v>
      </c>
      <c r="EY29" s="9"/>
      <c r="EZ29" s="9"/>
      <c r="FA29" s="9"/>
      <c r="FB29" s="8">
        <f t="shared" si="71"/>
        <v>0</v>
      </c>
      <c r="FC29" s="8">
        <f t="shared" si="72"/>
        <v>5.7810000000000006</v>
      </c>
      <c r="FD29" s="8">
        <f t="shared" si="73"/>
        <v>5.7810000000000006</v>
      </c>
      <c r="FE29" s="9"/>
      <c r="FF29" s="9"/>
      <c r="FG29" s="9"/>
      <c r="FH29" s="8">
        <f t="shared" si="74"/>
        <v>0</v>
      </c>
      <c r="FI29" s="8">
        <f t="shared" si="75"/>
        <v>5.7810000000000006</v>
      </c>
      <c r="FJ29" s="8">
        <f t="shared" si="76"/>
        <v>5.7810000000000006</v>
      </c>
      <c r="FK29" s="9"/>
      <c r="FL29" s="9"/>
      <c r="FM29" s="9"/>
      <c r="FN29" s="8">
        <f t="shared" si="77"/>
        <v>0</v>
      </c>
      <c r="FO29" s="8">
        <f t="shared" si="78"/>
        <v>5.7810000000000006</v>
      </c>
      <c r="FP29" s="8">
        <f t="shared" si="79"/>
        <v>5.7810000000000006</v>
      </c>
      <c r="FQ29" s="9"/>
      <c r="FR29" s="9"/>
      <c r="FS29" s="9"/>
      <c r="FT29" s="8">
        <f t="shared" si="80"/>
        <v>0</v>
      </c>
      <c r="FU29" s="8">
        <f t="shared" si="81"/>
        <v>5.7810000000000006</v>
      </c>
      <c r="FV29" s="8">
        <f t="shared" si="82"/>
        <v>5.7810000000000006</v>
      </c>
      <c r="FW29" s="9"/>
      <c r="FX29" s="9"/>
      <c r="FY29" s="9"/>
      <c r="FZ29" s="8">
        <f t="shared" si="83"/>
        <v>0</v>
      </c>
      <c r="GA29" s="8">
        <f t="shared" si="84"/>
        <v>5.7810000000000006</v>
      </c>
      <c r="GB29" s="8">
        <f t="shared" si="85"/>
        <v>5.7810000000000006</v>
      </c>
      <c r="GC29" s="9"/>
      <c r="GD29" s="9"/>
      <c r="GE29" s="9"/>
      <c r="GF29" s="8">
        <f t="shared" si="86"/>
        <v>0</v>
      </c>
      <c r="GG29" s="8">
        <f t="shared" si="87"/>
        <v>5.7810000000000006</v>
      </c>
      <c r="GH29" s="8">
        <f t="shared" si="88"/>
        <v>5.7810000000000006</v>
      </c>
      <c r="GI29" s="9"/>
      <c r="GJ29" s="9"/>
      <c r="GK29" s="9"/>
      <c r="GL29" s="8">
        <f t="shared" si="89"/>
        <v>0</v>
      </c>
      <c r="GM29" s="8">
        <f t="shared" si="90"/>
        <v>5.7810000000000006</v>
      </c>
      <c r="GN29" s="10">
        <f t="shared" si="91"/>
        <v>0</v>
      </c>
      <c r="GO29" s="10">
        <f t="shared" si="92"/>
        <v>7.9000000000000001E-2</v>
      </c>
      <c r="GP29" s="10">
        <f t="shared" si="93"/>
        <v>0</v>
      </c>
      <c r="GQ29" s="11">
        <f t="shared" si="94"/>
        <v>7.9000000000000001E-2</v>
      </c>
      <c r="GR29" s="11">
        <f t="shared" si="95"/>
        <v>5.7810000000000006</v>
      </c>
    </row>
    <row r="30" spans="1:200" ht="15.75" customHeight="1" x14ac:dyDescent="0.3">
      <c r="A30" s="6">
        <v>22</v>
      </c>
      <c r="B30" s="22" t="s">
        <v>286</v>
      </c>
      <c r="C30" s="20" t="s">
        <v>196</v>
      </c>
      <c r="D30" s="24" t="s">
        <v>362</v>
      </c>
      <c r="E30" s="16" t="s">
        <v>115</v>
      </c>
      <c r="F30" s="12" t="s">
        <v>376</v>
      </c>
      <c r="G30" s="12" t="s">
        <v>72</v>
      </c>
      <c r="H30" s="7" t="s">
        <v>70</v>
      </c>
      <c r="I30" s="8">
        <v>10</v>
      </c>
      <c r="J30" s="27">
        <v>10</v>
      </c>
      <c r="K30" s="9"/>
      <c r="L30" s="9"/>
      <c r="M30" s="9"/>
      <c r="N30" s="8">
        <f t="shared" si="0"/>
        <v>0</v>
      </c>
      <c r="O30" s="8">
        <f t="shared" si="96"/>
        <v>10</v>
      </c>
      <c r="P30" s="8">
        <f t="shared" si="1"/>
        <v>10</v>
      </c>
      <c r="Q30" s="9"/>
      <c r="R30" s="9"/>
      <c r="S30" s="9"/>
      <c r="T30" s="8">
        <f t="shared" si="2"/>
        <v>0</v>
      </c>
      <c r="U30" s="8">
        <f t="shared" si="3"/>
        <v>10</v>
      </c>
      <c r="V30" s="8">
        <f t="shared" si="4"/>
        <v>10</v>
      </c>
      <c r="W30" s="29"/>
      <c r="X30" s="29"/>
      <c r="Y30" s="29"/>
      <c r="Z30" s="8">
        <f t="shared" si="5"/>
        <v>0</v>
      </c>
      <c r="AA30" s="8">
        <f t="shared" si="6"/>
        <v>10</v>
      </c>
      <c r="AB30" s="8">
        <f t="shared" si="7"/>
        <v>10</v>
      </c>
      <c r="AC30" s="29"/>
      <c r="AD30" s="29"/>
      <c r="AE30" s="29"/>
      <c r="AF30" s="8">
        <f t="shared" si="8"/>
        <v>0</v>
      </c>
      <c r="AG30" s="8">
        <f t="shared" si="9"/>
        <v>10</v>
      </c>
      <c r="AH30" s="8">
        <f t="shared" si="10"/>
        <v>10</v>
      </c>
      <c r="AI30" s="29"/>
      <c r="AJ30" s="29"/>
      <c r="AK30" s="29"/>
      <c r="AL30" s="8">
        <f t="shared" si="11"/>
        <v>0</v>
      </c>
      <c r="AM30" s="8">
        <f t="shared" si="12"/>
        <v>10</v>
      </c>
      <c r="AN30" s="8">
        <f t="shared" si="13"/>
        <v>10</v>
      </c>
      <c r="AO30" s="9"/>
      <c r="AP30" s="9"/>
      <c r="AQ30" s="9"/>
      <c r="AR30" s="8">
        <f t="shared" si="14"/>
        <v>0</v>
      </c>
      <c r="AS30" s="8">
        <f t="shared" si="15"/>
        <v>10</v>
      </c>
      <c r="AT30" s="8">
        <f t="shared" si="16"/>
        <v>10</v>
      </c>
      <c r="AU30" s="9"/>
      <c r="AV30" s="9"/>
      <c r="AW30" s="9"/>
      <c r="AX30" s="8">
        <f t="shared" si="17"/>
        <v>0</v>
      </c>
      <c r="AY30" s="8">
        <f t="shared" si="18"/>
        <v>10</v>
      </c>
      <c r="AZ30" s="8">
        <f t="shared" si="19"/>
        <v>10</v>
      </c>
      <c r="BA30" s="9"/>
      <c r="BB30" s="9"/>
      <c r="BC30" s="9"/>
      <c r="BD30" s="8">
        <f t="shared" si="20"/>
        <v>0</v>
      </c>
      <c r="BE30" s="8">
        <f t="shared" si="21"/>
        <v>10</v>
      </c>
      <c r="BF30" s="8">
        <f t="shared" si="22"/>
        <v>10</v>
      </c>
      <c r="BG30" s="9"/>
      <c r="BH30" s="9"/>
      <c r="BI30" s="9"/>
      <c r="BJ30" s="8">
        <f t="shared" si="23"/>
        <v>0</v>
      </c>
      <c r="BK30" s="8">
        <f t="shared" si="24"/>
        <v>10</v>
      </c>
      <c r="BL30" s="8">
        <f t="shared" si="25"/>
        <v>10</v>
      </c>
      <c r="BM30" s="9"/>
      <c r="BN30" s="9"/>
      <c r="BO30" s="9"/>
      <c r="BP30" s="8">
        <f t="shared" si="26"/>
        <v>0</v>
      </c>
      <c r="BQ30" s="8">
        <f t="shared" si="27"/>
        <v>10</v>
      </c>
      <c r="BR30" s="8">
        <f t="shared" si="28"/>
        <v>10</v>
      </c>
      <c r="BS30" s="9"/>
      <c r="BT30" s="9"/>
      <c r="BU30" s="9"/>
      <c r="BV30" s="8">
        <f t="shared" si="29"/>
        <v>0</v>
      </c>
      <c r="BW30" s="8">
        <f t="shared" si="30"/>
        <v>10</v>
      </c>
      <c r="BX30" s="8">
        <f t="shared" si="31"/>
        <v>10</v>
      </c>
      <c r="BY30" s="9"/>
      <c r="BZ30" s="9"/>
      <c r="CA30" s="9"/>
      <c r="CB30" s="8">
        <f t="shared" si="32"/>
        <v>0</v>
      </c>
      <c r="CC30" s="8">
        <f t="shared" si="33"/>
        <v>10</v>
      </c>
      <c r="CD30" s="8">
        <f t="shared" si="34"/>
        <v>10</v>
      </c>
      <c r="CE30" s="9"/>
      <c r="CF30" s="9"/>
      <c r="CG30" s="9"/>
      <c r="CH30" s="8">
        <f t="shared" si="35"/>
        <v>0</v>
      </c>
      <c r="CI30" s="8">
        <f t="shared" si="36"/>
        <v>10</v>
      </c>
      <c r="CJ30" s="8">
        <f t="shared" si="37"/>
        <v>10</v>
      </c>
      <c r="CK30" s="9"/>
      <c r="CL30" s="9"/>
      <c r="CM30" s="9"/>
      <c r="CN30" s="8">
        <f t="shared" si="38"/>
        <v>0</v>
      </c>
      <c r="CO30" s="8">
        <f t="shared" si="39"/>
        <v>10</v>
      </c>
      <c r="CP30" s="8">
        <f t="shared" si="40"/>
        <v>10</v>
      </c>
      <c r="CQ30" s="9"/>
      <c r="CR30" s="9"/>
      <c r="CS30" s="9"/>
      <c r="CT30" s="8">
        <f t="shared" si="41"/>
        <v>0</v>
      </c>
      <c r="CU30" s="8">
        <f t="shared" si="42"/>
        <v>10</v>
      </c>
      <c r="CV30" s="8">
        <f t="shared" si="43"/>
        <v>10</v>
      </c>
      <c r="CW30" s="9"/>
      <c r="CX30" s="9"/>
      <c r="CY30" s="9"/>
      <c r="CZ30" s="8">
        <f t="shared" si="44"/>
        <v>0</v>
      </c>
      <c r="DA30" s="8">
        <f t="shared" si="45"/>
        <v>10</v>
      </c>
      <c r="DB30" s="8">
        <f t="shared" si="46"/>
        <v>10</v>
      </c>
      <c r="DC30" s="9"/>
      <c r="DD30" s="9"/>
      <c r="DE30" s="9"/>
      <c r="DF30" s="8">
        <f t="shared" si="47"/>
        <v>0</v>
      </c>
      <c r="DG30" s="8">
        <f t="shared" si="48"/>
        <v>10</v>
      </c>
      <c r="DH30" s="8">
        <f t="shared" si="49"/>
        <v>10</v>
      </c>
      <c r="DI30" s="9"/>
      <c r="DJ30" s="9"/>
      <c r="DK30" s="9"/>
      <c r="DL30" s="8">
        <f t="shared" si="50"/>
        <v>0</v>
      </c>
      <c r="DM30" s="8">
        <f t="shared" si="51"/>
        <v>10</v>
      </c>
      <c r="DN30" s="8">
        <f t="shared" si="52"/>
        <v>10</v>
      </c>
      <c r="DO30" s="9"/>
      <c r="DP30" s="9"/>
      <c r="DQ30" s="9"/>
      <c r="DR30" s="8">
        <f t="shared" si="53"/>
        <v>0</v>
      </c>
      <c r="DS30" s="8">
        <f t="shared" si="54"/>
        <v>10</v>
      </c>
      <c r="DT30" s="8">
        <f t="shared" si="55"/>
        <v>10</v>
      </c>
      <c r="DU30" s="9"/>
      <c r="DV30" s="9"/>
      <c r="DW30" s="9"/>
      <c r="DX30" s="8">
        <f t="shared" si="56"/>
        <v>0</v>
      </c>
      <c r="DY30" s="8">
        <f t="shared" si="57"/>
        <v>10</v>
      </c>
      <c r="DZ30" s="8">
        <f t="shared" si="58"/>
        <v>10</v>
      </c>
      <c r="EA30" s="9"/>
      <c r="EB30" s="9"/>
      <c r="EC30" s="9"/>
      <c r="ED30" s="8">
        <f t="shared" si="59"/>
        <v>0</v>
      </c>
      <c r="EE30" s="8">
        <f t="shared" si="60"/>
        <v>10</v>
      </c>
      <c r="EF30" s="8">
        <f t="shared" si="61"/>
        <v>10</v>
      </c>
      <c r="EG30" s="9"/>
      <c r="EH30" s="9"/>
      <c r="EI30" s="9"/>
      <c r="EJ30" s="8">
        <f t="shared" si="62"/>
        <v>0</v>
      </c>
      <c r="EK30" s="8">
        <f t="shared" si="63"/>
        <v>10</v>
      </c>
      <c r="EL30" s="8">
        <f t="shared" si="64"/>
        <v>10</v>
      </c>
      <c r="EM30" s="9"/>
      <c r="EN30" s="9"/>
      <c r="EO30" s="9"/>
      <c r="EP30" s="8">
        <f t="shared" si="65"/>
        <v>0</v>
      </c>
      <c r="EQ30" s="8">
        <f t="shared" si="66"/>
        <v>10</v>
      </c>
      <c r="ER30" s="8">
        <f t="shared" si="67"/>
        <v>10</v>
      </c>
      <c r="ES30" s="9"/>
      <c r="ET30" s="9"/>
      <c r="EU30" s="9"/>
      <c r="EV30" s="8">
        <f t="shared" si="68"/>
        <v>0</v>
      </c>
      <c r="EW30" s="8">
        <f t="shared" si="69"/>
        <v>10</v>
      </c>
      <c r="EX30" s="8">
        <f t="shared" si="70"/>
        <v>10</v>
      </c>
      <c r="EY30" s="9"/>
      <c r="EZ30" s="9"/>
      <c r="FA30" s="9"/>
      <c r="FB30" s="8">
        <f t="shared" si="71"/>
        <v>0</v>
      </c>
      <c r="FC30" s="8">
        <f t="shared" si="72"/>
        <v>10</v>
      </c>
      <c r="FD30" s="8">
        <f t="shared" si="73"/>
        <v>10</v>
      </c>
      <c r="FE30" s="9"/>
      <c r="FF30" s="9"/>
      <c r="FG30" s="9"/>
      <c r="FH30" s="8">
        <f t="shared" si="74"/>
        <v>0</v>
      </c>
      <c r="FI30" s="8">
        <f t="shared" si="75"/>
        <v>10</v>
      </c>
      <c r="FJ30" s="8">
        <f t="shared" si="76"/>
        <v>10</v>
      </c>
      <c r="FK30" s="9"/>
      <c r="FL30" s="9"/>
      <c r="FM30" s="9"/>
      <c r="FN30" s="8">
        <f t="shared" si="77"/>
        <v>0</v>
      </c>
      <c r="FO30" s="8">
        <f t="shared" si="78"/>
        <v>10</v>
      </c>
      <c r="FP30" s="8">
        <f t="shared" si="79"/>
        <v>10</v>
      </c>
      <c r="FQ30" s="9"/>
      <c r="FR30" s="9"/>
      <c r="FS30" s="9"/>
      <c r="FT30" s="8">
        <f t="shared" si="80"/>
        <v>0</v>
      </c>
      <c r="FU30" s="8">
        <f t="shared" si="81"/>
        <v>10</v>
      </c>
      <c r="FV30" s="8">
        <f t="shared" si="82"/>
        <v>10</v>
      </c>
      <c r="FW30" s="9"/>
      <c r="FX30" s="9"/>
      <c r="FY30" s="9"/>
      <c r="FZ30" s="8">
        <f t="shared" si="83"/>
        <v>0</v>
      </c>
      <c r="GA30" s="8">
        <f t="shared" si="84"/>
        <v>10</v>
      </c>
      <c r="GB30" s="8">
        <f t="shared" si="85"/>
        <v>10</v>
      </c>
      <c r="GC30" s="9"/>
      <c r="GD30" s="9"/>
      <c r="GE30" s="9"/>
      <c r="GF30" s="8">
        <f t="shared" si="86"/>
        <v>0</v>
      </c>
      <c r="GG30" s="8">
        <f t="shared" si="87"/>
        <v>10</v>
      </c>
      <c r="GH30" s="8">
        <f t="shared" si="88"/>
        <v>10</v>
      </c>
      <c r="GI30" s="9"/>
      <c r="GJ30" s="9"/>
      <c r="GK30" s="9"/>
      <c r="GL30" s="8">
        <f t="shared" si="89"/>
        <v>0</v>
      </c>
      <c r="GM30" s="8">
        <f t="shared" si="90"/>
        <v>10</v>
      </c>
      <c r="GN30" s="10">
        <f t="shared" si="91"/>
        <v>0</v>
      </c>
      <c r="GO30" s="10">
        <f t="shared" si="92"/>
        <v>0</v>
      </c>
      <c r="GP30" s="10">
        <f t="shared" si="93"/>
        <v>0</v>
      </c>
      <c r="GQ30" s="11">
        <f t="shared" si="94"/>
        <v>0</v>
      </c>
      <c r="GR30" s="11">
        <f t="shared" si="95"/>
        <v>10</v>
      </c>
    </row>
    <row r="31" spans="1:200" ht="15.75" customHeight="1" x14ac:dyDescent="0.3">
      <c r="A31" s="6">
        <v>23</v>
      </c>
      <c r="B31" s="22" t="s">
        <v>287</v>
      </c>
      <c r="C31" s="20" t="s">
        <v>197</v>
      </c>
      <c r="D31" s="24" t="s">
        <v>362</v>
      </c>
      <c r="E31" s="16" t="s">
        <v>116</v>
      </c>
      <c r="F31" s="12" t="s">
        <v>375</v>
      </c>
      <c r="G31" s="12" t="s">
        <v>71</v>
      </c>
      <c r="H31" s="7" t="s">
        <v>70</v>
      </c>
      <c r="I31" s="8">
        <v>5</v>
      </c>
      <c r="J31" s="27">
        <v>5</v>
      </c>
      <c r="K31" s="9"/>
      <c r="L31" s="9"/>
      <c r="M31" s="9"/>
      <c r="N31" s="8">
        <f t="shared" si="0"/>
        <v>0</v>
      </c>
      <c r="O31" s="8">
        <f t="shared" si="96"/>
        <v>5</v>
      </c>
      <c r="P31" s="8">
        <f t="shared" si="1"/>
        <v>5</v>
      </c>
      <c r="Q31" s="9"/>
      <c r="R31" s="9"/>
      <c r="S31" s="9"/>
      <c r="T31" s="8">
        <f t="shared" si="2"/>
        <v>0</v>
      </c>
      <c r="U31" s="8">
        <f t="shared" si="3"/>
        <v>5</v>
      </c>
      <c r="V31" s="8">
        <f t="shared" si="4"/>
        <v>5</v>
      </c>
      <c r="W31" s="29"/>
      <c r="X31" s="29"/>
      <c r="Y31" s="29"/>
      <c r="Z31" s="8">
        <f t="shared" si="5"/>
        <v>0</v>
      </c>
      <c r="AA31" s="8">
        <f t="shared" si="6"/>
        <v>5</v>
      </c>
      <c r="AB31" s="8">
        <f t="shared" si="7"/>
        <v>5</v>
      </c>
      <c r="AC31" s="29"/>
      <c r="AD31" s="29"/>
      <c r="AE31" s="29"/>
      <c r="AF31" s="8">
        <f t="shared" si="8"/>
        <v>0</v>
      </c>
      <c r="AG31" s="8">
        <f t="shared" si="9"/>
        <v>5</v>
      </c>
      <c r="AH31" s="8">
        <f t="shared" si="10"/>
        <v>5</v>
      </c>
      <c r="AI31" s="29"/>
      <c r="AJ31" s="29"/>
      <c r="AK31" s="29"/>
      <c r="AL31" s="8">
        <f t="shared" si="11"/>
        <v>0</v>
      </c>
      <c r="AM31" s="8">
        <f t="shared" si="12"/>
        <v>5</v>
      </c>
      <c r="AN31" s="8">
        <f t="shared" si="13"/>
        <v>5</v>
      </c>
      <c r="AO31" s="9"/>
      <c r="AP31" s="9"/>
      <c r="AQ31" s="9"/>
      <c r="AR31" s="8">
        <f t="shared" si="14"/>
        <v>0</v>
      </c>
      <c r="AS31" s="8">
        <f t="shared" si="15"/>
        <v>5</v>
      </c>
      <c r="AT31" s="8">
        <f t="shared" si="16"/>
        <v>5</v>
      </c>
      <c r="AU31" s="9"/>
      <c r="AV31" s="9"/>
      <c r="AW31" s="9"/>
      <c r="AX31" s="8">
        <f t="shared" si="17"/>
        <v>0</v>
      </c>
      <c r="AY31" s="8">
        <f t="shared" si="18"/>
        <v>5</v>
      </c>
      <c r="AZ31" s="8">
        <f t="shared" si="19"/>
        <v>5</v>
      </c>
      <c r="BA31" s="9"/>
      <c r="BB31" s="9"/>
      <c r="BC31" s="9"/>
      <c r="BD31" s="8">
        <f t="shared" si="20"/>
        <v>0</v>
      </c>
      <c r="BE31" s="8">
        <f t="shared" si="21"/>
        <v>5</v>
      </c>
      <c r="BF31" s="8">
        <f t="shared" si="22"/>
        <v>5</v>
      </c>
      <c r="BG31" s="9"/>
      <c r="BH31" s="9"/>
      <c r="BI31" s="9"/>
      <c r="BJ31" s="8">
        <f t="shared" si="23"/>
        <v>0</v>
      </c>
      <c r="BK31" s="8">
        <f t="shared" si="24"/>
        <v>5</v>
      </c>
      <c r="BL31" s="8">
        <f t="shared" si="25"/>
        <v>5</v>
      </c>
      <c r="BM31" s="9"/>
      <c r="BN31" s="9"/>
      <c r="BO31" s="9"/>
      <c r="BP31" s="8">
        <f t="shared" si="26"/>
        <v>0</v>
      </c>
      <c r="BQ31" s="8">
        <f t="shared" si="27"/>
        <v>5</v>
      </c>
      <c r="BR31" s="8">
        <f t="shared" si="28"/>
        <v>5</v>
      </c>
      <c r="BS31" s="9"/>
      <c r="BT31" s="9"/>
      <c r="BU31" s="9"/>
      <c r="BV31" s="8">
        <f t="shared" si="29"/>
        <v>0</v>
      </c>
      <c r="BW31" s="8">
        <f t="shared" si="30"/>
        <v>5</v>
      </c>
      <c r="BX31" s="8">
        <f t="shared" si="31"/>
        <v>5</v>
      </c>
      <c r="BY31" s="9"/>
      <c r="BZ31" s="9"/>
      <c r="CA31" s="9"/>
      <c r="CB31" s="8">
        <f t="shared" si="32"/>
        <v>0</v>
      </c>
      <c r="CC31" s="8">
        <f t="shared" si="33"/>
        <v>5</v>
      </c>
      <c r="CD31" s="8">
        <f t="shared" si="34"/>
        <v>5</v>
      </c>
      <c r="CE31" s="9"/>
      <c r="CF31" s="9"/>
      <c r="CG31" s="9"/>
      <c r="CH31" s="8">
        <f t="shared" si="35"/>
        <v>0</v>
      </c>
      <c r="CI31" s="8">
        <f t="shared" si="36"/>
        <v>5</v>
      </c>
      <c r="CJ31" s="8">
        <f t="shared" si="37"/>
        <v>5</v>
      </c>
      <c r="CK31" s="9"/>
      <c r="CL31" s="9"/>
      <c r="CM31" s="9"/>
      <c r="CN31" s="8">
        <f t="shared" si="38"/>
        <v>0</v>
      </c>
      <c r="CO31" s="8">
        <f t="shared" si="39"/>
        <v>5</v>
      </c>
      <c r="CP31" s="8">
        <f t="shared" si="40"/>
        <v>5</v>
      </c>
      <c r="CQ31" s="9"/>
      <c r="CR31" s="9"/>
      <c r="CS31" s="9"/>
      <c r="CT31" s="8">
        <f t="shared" si="41"/>
        <v>0</v>
      </c>
      <c r="CU31" s="8">
        <f t="shared" si="42"/>
        <v>5</v>
      </c>
      <c r="CV31" s="8">
        <f t="shared" si="43"/>
        <v>5</v>
      </c>
      <c r="CW31" s="9"/>
      <c r="CX31" s="9"/>
      <c r="CY31" s="9"/>
      <c r="CZ31" s="8">
        <f t="shared" si="44"/>
        <v>0</v>
      </c>
      <c r="DA31" s="8">
        <f t="shared" si="45"/>
        <v>5</v>
      </c>
      <c r="DB31" s="8">
        <f t="shared" si="46"/>
        <v>5</v>
      </c>
      <c r="DC31" s="9"/>
      <c r="DD31" s="9"/>
      <c r="DE31" s="9"/>
      <c r="DF31" s="8">
        <f t="shared" si="47"/>
        <v>0</v>
      </c>
      <c r="DG31" s="8">
        <f t="shared" si="48"/>
        <v>5</v>
      </c>
      <c r="DH31" s="8">
        <f t="shared" si="49"/>
        <v>5</v>
      </c>
      <c r="DI31" s="9"/>
      <c r="DJ31" s="9"/>
      <c r="DK31" s="9"/>
      <c r="DL31" s="8">
        <f t="shared" si="50"/>
        <v>0</v>
      </c>
      <c r="DM31" s="8">
        <f t="shared" si="51"/>
        <v>5</v>
      </c>
      <c r="DN31" s="8">
        <f t="shared" si="52"/>
        <v>5</v>
      </c>
      <c r="DO31" s="9"/>
      <c r="DP31" s="9"/>
      <c r="DQ31" s="9"/>
      <c r="DR31" s="8">
        <f t="shared" si="53"/>
        <v>0</v>
      </c>
      <c r="DS31" s="8">
        <f t="shared" si="54"/>
        <v>5</v>
      </c>
      <c r="DT31" s="8">
        <f t="shared" si="55"/>
        <v>5</v>
      </c>
      <c r="DU31" s="9"/>
      <c r="DV31" s="9"/>
      <c r="DW31" s="9"/>
      <c r="DX31" s="8">
        <f t="shared" si="56"/>
        <v>0</v>
      </c>
      <c r="DY31" s="8">
        <f t="shared" si="57"/>
        <v>5</v>
      </c>
      <c r="DZ31" s="8">
        <f t="shared" si="58"/>
        <v>5</v>
      </c>
      <c r="EA31" s="9"/>
      <c r="EB31" s="9"/>
      <c r="EC31" s="9"/>
      <c r="ED31" s="8">
        <f t="shared" si="59"/>
        <v>0</v>
      </c>
      <c r="EE31" s="8">
        <f t="shared" si="60"/>
        <v>5</v>
      </c>
      <c r="EF31" s="8">
        <f t="shared" si="61"/>
        <v>5</v>
      </c>
      <c r="EG31" s="9"/>
      <c r="EH31" s="9"/>
      <c r="EI31" s="9"/>
      <c r="EJ31" s="8">
        <f t="shared" si="62"/>
        <v>0</v>
      </c>
      <c r="EK31" s="8">
        <f t="shared" si="63"/>
        <v>5</v>
      </c>
      <c r="EL31" s="8">
        <f t="shared" si="64"/>
        <v>5</v>
      </c>
      <c r="EM31" s="9"/>
      <c r="EN31" s="9"/>
      <c r="EO31" s="9"/>
      <c r="EP31" s="8">
        <f t="shared" si="65"/>
        <v>0</v>
      </c>
      <c r="EQ31" s="8">
        <f t="shared" si="66"/>
        <v>5</v>
      </c>
      <c r="ER31" s="8">
        <f t="shared" si="67"/>
        <v>5</v>
      </c>
      <c r="ES31" s="9"/>
      <c r="ET31" s="9"/>
      <c r="EU31" s="9"/>
      <c r="EV31" s="8">
        <f t="shared" si="68"/>
        <v>0</v>
      </c>
      <c r="EW31" s="8">
        <f t="shared" si="69"/>
        <v>5</v>
      </c>
      <c r="EX31" s="8">
        <f t="shared" si="70"/>
        <v>5</v>
      </c>
      <c r="EY31" s="9"/>
      <c r="EZ31" s="9"/>
      <c r="FA31" s="9"/>
      <c r="FB31" s="8">
        <f t="shared" si="71"/>
        <v>0</v>
      </c>
      <c r="FC31" s="8">
        <f t="shared" si="72"/>
        <v>5</v>
      </c>
      <c r="FD31" s="8">
        <f t="shared" si="73"/>
        <v>5</v>
      </c>
      <c r="FE31" s="9"/>
      <c r="FF31" s="9"/>
      <c r="FG31" s="9"/>
      <c r="FH31" s="8">
        <f t="shared" si="74"/>
        <v>0</v>
      </c>
      <c r="FI31" s="8">
        <f t="shared" si="75"/>
        <v>5</v>
      </c>
      <c r="FJ31" s="8">
        <f t="shared" si="76"/>
        <v>5</v>
      </c>
      <c r="FK31" s="9"/>
      <c r="FL31" s="9"/>
      <c r="FM31" s="9"/>
      <c r="FN31" s="8">
        <f t="shared" si="77"/>
        <v>0</v>
      </c>
      <c r="FO31" s="8">
        <f t="shared" si="78"/>
        <v>5</v>
      </c>
      <c r="FP31" s="8">
        <f t="shared" si="79"/>
        <v>5</v>
      </c>
      <c r="FQ31" s="9"/>
      <c r="FR31" s="9"/>
      <c r="FS31" s="9"/>
      <c r="FT31" s="8">
        <f t="shared" si="80"/>
        <v>0</v>
      </c>
      <c r="FU31" s="8">
        <f t="shared" si="81"/>
        <v>5</v>
      </c>
      <c r="FV31" s="8">
        <f t="shared" si="82"/>
        <v>5</v>
      </c>
      <c r="FW31" s="9"/>
      <c r="FX31" s="9"/>
      <c r="FY31" s="9"/>
      <c r="FZ31" s="8">
        <f t="shared" si="83"/>
        <v>0</v>
      </c>
      <c r="GA31" s="8">
        <f t="shared" si="84"/>
        <v>5</v>
      </c>
      <c r="GB31" s="8">
        <f t="shared" si="85"/>
        <v>5</v>
      </c>
      <c r="GC31" s="9"/>
      <c r="GD31" s="9"/>
      <c r="GE31" s="9"/>
      <c r="GF31" s="8">
        <f t="shared" si="86"/>
        <v>0</v>
      </c>
      <c r="GG31" s="8">
        <f t="shared" si="87"/>
        <v>5</v>
      </c>
      <c r="GH31" s="8">
        <f t="shared" si="88"/>
        <v>5</v>
      </c>
      <c r="GI31" s="9"/>
      <c r="GJ31" s="9"/>
      <c r="GK31" s="9"/>
      <c r="GL31" s="8">
        <f t="shared" si="89"/>
        <v>0</v>
      </c>
      <c r="GM31" s="8">
        <f t="shared" si="90"/>
        <v>5</v>
      </c>
      <c r="GN31" s="10">
        <f t="shared" si="91"/>
        <v>0</v>
      </c>
      <c r="GO31" s="10">
        <f t="shared" si="92"/>
        <v>0</v>
      </c>
      <c r="GP31" s="10">
        <f t="shared" si="93"/>
        <v>0</v>
      </c>
      <c r="GQ31" s="11">
        <f t="shared" si="94"/>
        <v>0</v>
      </c>
      <c r="GR31" s="11">
        <f t="shared" si="95"/>
        <v>5</v>
      </c>
    </row>
    <row r="32" spans="1:200" ht="15.75" customHeight="1" x14ac:dyDescent="0.3">
      <c r="A32" s="6">
        <v>24</v>
      </c>
      <c r="B32" s="22" t="s">
        <v>288</v>
      </c>
      <c r="C32" s="20" t="s">
        <v>197</v>
      </c>
      <c r="D32" s="24" t="s">
        <v>362</v>
      </c>
      <c r="E32" s="16" t="s">
        <v>117</v>
      </c>
      <c r="F32" s="12" t="s">
        <v>375</v>
      </c>
      <c r="G32" s="12" t="s">
        <v>71</v>
      </c>
      <c r="H32" s="7" t="s">
        <v>70</v>
      </c>
      <c r="I32" s="8">
        <v>5.3670000000000018</v>
      </c>
      <c r="J32" s="27">
        <v>5.37</v>
      </c>
      <c r="K32" s="9"/>
      <c r="L32" s="9"/>
      <c r="M32" s="9"/>
      <c r="N32" s="8">
        <f t="shared" si="0"/>
        <v>0</v>
      </c>
      <c r="O32" s="8">
        <f t="shared" si="96"/>
        <v>5.37</v>
      </c>
      <c r="P32" s="8">
        <f t="shared" si="1"/>
        <v>5.37</v>
      </c>
      <c r="Q32" s="9"/>
      <c r="R32" s="9"/>
      <c r="S32" s="9"/>
      <c r="T32" s="8">
        <f t="shared" si="2"/>
        <v>0</v>
      </c>
      <c r="U32" s="8">
        <f t="shared" si="3"/>
        <v>5.37</v>
      </c>
      <c r="V32" s="8">
        <f t="shared" si="4"/>
        <v>5.37</v>
      </c>
      <c r="W32" s="29"/>
      <c r="X32" s="29">
        <v>0.03</v>
      </c>
      <c r="Y32" s="29">
        <v>0</v>
      </c>
      <c r="Z32" s="8">
        <f t="shared" si="5"/>
        <v>0.03</v>
      </c>
      <c r="AA32" s="8">
        <f t="shared" si="6"/>
        <v>5.34</v>
      </c>
      <c r="AB32" s="8">
        <f t="shared" si="7"/>
        <v>5.34</v>
      </c>
      <c r="AC32" s="29"/>
      <c r="AD32" s="29">
        <v>0</v>
      </c>
      <c r="AE32" s="29">
        <v>0</v>
      </c>
      <c r="AF32" s="8">
        <f t="shared" si="8"/>
        <v>0</v>
      </c>
      <c r="AG32" s="8">
        <f t="shared" si="9"/>
        <v>5.34</v>
      </c>
      <c r="AH32" s="8">
        <f t="shared" si="10"/>
        <v>5.34</v>
      </c>
      <c r="AI32" s="29"/>
      <c r="AJ32" s="29">
        <v>0.06</v>
      </c>
      <c r="AK32" s="29">
        <v>0</v>
      </c>
      <c r="AL32" s="8">
        <f t="shared" si="11"/>
        <v>0.06</v>
      </c>
      <c r="AM32" s="8">
        <f t="shared" si="12"/>
        <v>5.28</v>
      </c>
      <c r="AN32" s="8">
        <f t="shared" si="13"/>
        <v>5.28</v>
      </c>
      <c r="AO32" s="9"/>
      <c r="AP32" s="9"/>
      <c r="AQ32" s="9"/>
      <c r="AR32" s="8">
        <f t="shared" si="14"/>
        <v>0</v>
      </c>
      <c r="AS32" s="8">
        <f t="shared" si="15"/>
        <v>5.28</v>
      </c>
      <c r="AT32" s="8">
        <f t="shared" si="16"/>
        <v>5.28</v>
      </c>
      <c r="AU32" s="9"/>
      <c r="AV32" s="9"/>
      <c r="AW32" s="9"/>
      <c r="AX32" s="8">
        <f t="shared" si="17"/>
        <v>0</v>
      </c>
      <c r="AY32" s="8">
        <f t="shared" si="18"/>
        <v>5.28</v>
      </c>
      <c r="AZ32" s="8">
        <f t="shared" si="19"/>
        <v>5.28</v>
      </c>
      <c r="BA32" s="9"/>
      <c r="BB32" s="9"/>
      <c r="BC32" s="9"/>
      <c r="BD32" s="8">
        <f t="shared" si="20"/>
        <v>0</v>
      </c>
      <c r="BE32" s="8">
        <f t="shared" si="21"/>
        <v>5.28</v>
      </c>
      <c r="BF32" s="8">
        <f t="shared" si="22"/>
        <v>5.28</v>
      </c>
      <c r="BG32" s="9"/>
      <c r="BH32" s="9"/>
      <c r="BI32" s="9"/>
      <c r="BJ32" s="8">
        <f t="shared" si="23"/>
        <v>0</v>
      </c>
      <c r="BK32" s="8">
        <f t="shared" si="24"/>
        <v>5.28</v>
      </c>
      <c r="BL32" s="8">
        <f t="shared" si="25"/>
        <v>5.28</v>
      </c>
      <c r="BM32" s="9"/>
      <c r="BN32" s="9"/>
      <c r="BO32" s="9"/>
      <c r="BP32" s="8">
        <f t="shared" si="26"/>
        <v>0</v>
      </c>
      <c r="BQ32" s="8">
        <f t="shared" si="27"/>
        <v>5.28</v>
      </c>
      <c r="BR32" s="8">
        <f t="shared" si="28"/>
        <v>5.28</v>
      </c>
      <c r="BS32" s="9"/>
      <c r="BT32" s="9"/>
      <c r="BU32" s="9"/>
      <c r="BV32" s="8">
        <f t="shared" si="29"/>
        <v>0</v>
      </c>
      <c r="BW32" s="8">
        <f t="shared" si="30"/>
        <v>5.28</v>
      </c>
      <c r="BX32" s="8">
        <f t="shared" si="31"/>
        <v>5.28</v>
      </c>
      <c r="BY32" s="9"/>
      <c r="BZ32" s="9">
        <v>0.06</v>
      </c>
      <c r="CA32" s="9">
        <v>0</v>
      </c>
      <c r="CB32" s="8">
        <f t="shared" si="32"/>
        <v>0.06</v>
      </c>
      <c r="CC32" s="8">
        <f t="shared" si="33"/>
        <v>5.2200000000000006</v>
      </c>
      <c r="CD32" s="8">
        <f t="shared" si="34"/>
        <v>5.2200000000000006</v>
      </c>
      <c r="CE32" s="9"/>
      <c r="CF32" s="9"/>
      <c r="CG32" s="9"/>
      <c r="CH32" s="8">
        <f t="shared" si="35"/>
        <v>0</v>
      </c>
      <c r="CI32" s="8">
        <f t="shared" si="36"/>
        <v>5.2200000000000006</v>
      </c>
      <c r="CJ32" s="8">
        <f t="shared" si="37"/>
        <v>5.2200000000000006</v>
      </c>
      <c r="CK32" s="9"/>
      <c r="CL32" s="9">
        <v>135</v>
      </c>
      <c r="CM32" s="9">
        <v>0</v>
      </c>
      <c r="CN32" s="8">
        <f t="shared" si="38"/>
        <v>135</v>
      </c>
      <c r="CO32" s="8">
        <f t="shared" si="39"/>
        <v>-129.78</v>
      </c>
      <c r="CP32" s="8">
        <f t="shared" si="40"/>
        <v>-129.78</v>
      </c>
      <c r="CQ32" s="9"/>
      <c r="CR32" s="9"/>
      <c r="CS32" s="9"/>
      <c r="CT32" s="8">
        <f t="shared" si="41"/>
        <v>0</v>
      </c>
      <c r="CU32" s="8">
        <f t="shared" si="42"/>
        <v>-129.78</v>
      </c>
      <c r="CV32" s="8">
        <f t="shared" si="43"/>
        <v>-129.78</v>
      </c>
      <c r="CW32" s="9"/>
      <c r="CX32" s="9"/>
      <c r="CY32" s="9"/>
      <c r="CZ32" s="8">
        <f t="shared" si="44"/>
        <v>0</v>
      </c>
      <c r="DA32" s="8">
        <f t="shared" si="45"/>
        <v>-129.78</v>
      </c>
      <c r="DB32" s="8">
        <f t="shared" si="46"/>
        <v>-129.78</v>
      </c>
      <c r="DC32" s="9"/>
      <c r="DD32" s="9"/>
      <c r="DE32" s="9"/>
      <c r="DF32" s="8">
        <f t="shared" si="47"/>
        <v>0</v>
      </c>
      <c r="DG32" s="8">
        <f t="shared" si="48"/>
        <v>-129.78</v>
      </c>
      <c r="DH32" s="8">
        <f t="shared" si="49"/>
        <v>-129.78</v>
      </c>
      <c r="DI32" s="9"/>
      <c r="DJ32" s="9"/>
      <c r="DK32" s="9"/>
      <c r="DL32" s="8">
        <f t="shared" si="50"/>
        <v>0</v>
      </c>
      <c r="DM32" s="8">
        <f t="shared" si="51"/>
        <v>-129.78</v>
      </c>
      <c r="DN32" s="8">
        <f t="shared" si="52"/>
        <v>-129.78</v>
      </c>
      <c r="DO32" s="9"/>
      <c r="DP32" s="9"/>
      <c r="DQ32" s="9"/>
      <c r="DR32" s="8">
        <f t="shared" si="53"/>
        <v>0</v>
      </c>
      <c r="DS32" s="8">
        <f t="shared" si="54"/>
        <v>-129.78</v>
      </c>
      <c r="DT32" s="8">
        <f t="shared" si="55"/>
        <v>-129.78</v>
      </c>
      <c r="DU32" s="9"/>
      <c r="DV32" s="9"/>
      <c r="DW32" s="9"/>
      <c r="DX32" s="8">
        <f t="shared" si="56"/>
        <v>0</v>
      </c>
      <c r="DY32" s="8">
        <f t="shared" si="57"/>
        <v>-129.78</v>
      </c>
      <c r="DZ32" s="8">
        <f t="shared" si="58"/>
        <v>-129.78</v>
      </c>
      <c r="EA32" s="9"/>
      <c r="EB32" s="9"/>
      <c r="EC32" s="9"/>
      <c r="ED32" s="8">
        <f t="shared" si="59"/>
        <v>0</v>
      </c>
      <c r="EE32" s="8">
        <f t="shared" si="60"/>
        <v>-129.78</v>
      </c>
      <c r="EF32" s="8">
        <f t="shared" si="61"/>
        <v>-129.78</v>
      </c>
      <c r="EG32" s="9"/>
      <c r="EH32" s="9"/>
      <c r="EI32" s="9"/>
      <c r="EJ32" s="8">
        <f t="shared" si="62"/>
        <v>0</v>
      </c>
      <c r="EK32" s="8">
        <f t="shared" si="63"/>
        <v>-129.78</v>
      </c>
      <c r="EL32" s="8">
        <f t="shared" si="64"/>
        <v>-129.78</v>
      </c>
      <c r="EM32" s="9"/>
      <c r="EN32" s="9"/>
      <c r="EO32" s="9"/>
      <c r="EP32" s="8">
        <f t="shared" si="65"/>
        <v>0</v>
      </c>
      <c r="EQ32" s="8">
        <f t="shared" si="66"/>
        <v>-129.78</v>
      </c>
      <c r="ER32" s="8">
        <f t="shared" si="67"/>
        <v>-129.78</v>
      </c>
      <c r="ES32" s="9"/>
      <c r="ET32" s="9"/>
      <c r="EU32" s="9"/>
      <c r="EV32" s="8">
        <f t="shared" si="68"/>
        <v>0</v>
      </c>
      <c r="EW32" s="8">
        <f t="shared" si="69"/>
        <v>-129.78</v>
      </c>
      <c r="EX32" s="8">
        <f t="shared" si="70"/>
        <v>-129.78</v>
      </c>
      <c r="EY32" s="9"/>
      <c r="EZ32" s="9"/>
      <c r="FA32" s="9"/>
      <c r="FB32" s="8">
        <f t="shared" si="71"/>
        <v>0</v>
      </c>
      <c r="FC32" s="8">
        <f t="shared" si="72"/>
        <v>-129.78</v>
      </c>
      <c r="FD32" s="8">
        <f t="shared" si="73"/>
        <v>-129.78</v>
      </c>
      <c r="FE32" s="9"/>
      <c r="FF32" s="9"/>
      <c r="FG32" s="9"/>
      <c r="FH32" s="8">
        <f t="shared" si="74"/>
        <v>0</v>
      </c>
      <c r="FI32" s="8">
        <f t="shared" si="75"/>
        <v>-129.78</v>
      </c>
      <c r="FJ32" s="8">
        <f t="shared" si="76"/>
        <v>-129.78</v>
      </c>
      <c r="FK32" s="9"/>
      <c r="FL32" s="9"/>
      <c r="FM32" s="9"/>
      <c r="FN32" s="8">
        <f t="shared" si="77"/>
        <v>0</v>
      </c>
      <c r="FO32" s="8">
        <f t="shared" si="78"/>
        <v>-129.78</v>
      </c>
      <c r="FP32" s="8">
        <f t="shared" si="79"/>
        <v>-129.78</v>
      </c>
      <c r="FQ32" s="9"/>
      <c r="FR32" s="9"/>
      <c r="FS32" s="9"/>
      <c r="FT32" s="8">
        <f t="shared" si="80"/>
        <v>0</v>
      </c>
      <c r="FU32" s="8">
        <f t="shared" si="81"/>
        <v>-129.78</v>
      </c>
      <c r="FV32" s="8">
        <f t="shared" si="82"/>
        <v>-129.78</v>
      </c>
      <c r="FW32" s="9"/>
      <c r="FX32" s="9"/>
      <c r="FY32" s="9"/>
      <c r="FZ32" s="8">
        <f t="shared" si="83"/>
        <v>0</v>
      </c>
      <c r="GA32" s="8">
        <f t="shared" si="84"/>
        <v>-129.78</v>
      </c>
      <c r="GB32" s="8">
        <f t="shared" si="85"/>
        <v>-129.78</v>
      </c>
      <c r="GC32" s="9"/>
      <c r="GD32" s="9"/>
      <c r="GE32" s="9"/>
      <c r="GF32" s="8">
        <f t="shared" si="86"/>
        <v>0</v>
      </c>
      <c r="GG32" s="8">
        <f t="shared" si="87"/>
        <v>-129.78</v>
      </c>
      <c r="GH32" s="8">
        <f t="shared" si="88"/>
        <v>-129.78</v>
      </c>
      <c r="GI32" s="9"/>
      <c r="GJ32" s="9"/>
      <c r="GK32" s="9"/>
      <c r="GL32" s="8">
        <f t="shared" si="89"/>
        <v>0</v>
      </c>
      <c r="GM32" s="8">
        <f t="shared" si="90"/>
        <v>-129.78</v>
      </c>
      <c r="GN32" s="10">
        <f t="shared" si="91"/>
        <v>0</v>
      </c>
      <c r="GO32" s="10">
        <f t="shared" si="92"/>
        <v>135.15</v>
      </c>
      <c r="GP32" s="10">
        <f t="shared" si="93"/>
        <v>0</v>
      </c>
      <c r="GQ32" s="11">
        <f t="shared" si="94"/>
        <v>135.15</v>
      </c>
      <c r="GR32" s="11">
        <f t="shared" si="95"/>
        <v>-129.78</v>
      </c>
    </row>
    <row r="33" spans="1:200" ht="15.75" customHeight="1" x14ac:dyDescent="0.3">
      <c r="A33" s="6">
        <v>25</v>
      </c>
      <c r="B33" s="22" t="s">
        <v>289</v>
      </c>
      <c r="C33" s="20" t="s">
        <v>198</v>
      </c>
      <c r="D33" s="24" t="s">
        <v>362</v>
      </c>
      <c r="E33" s="16" t="s">
        <v>118</v>
      </c>
      <c r="F33" s="12" t="s">
        <v>375</v>
      </c>
      <c r="G33" s="12" t="s">
        <v>71</v>
      </c>
      <c r="H33" s="7" t="s">
        <v>70</v>
      </c>
      <c r="I33" s="8">
        <v>3.6999999999999997</v>
      </c>
      <c r="J33" s="27">
        <v>3.7</v>
      </c>
      <c r="K33" s="9"/>
      <c r="L33" s="9"/>
      <c r="M33" s="9"/>
      <c r="N33" s="8">
        <f t="shared" si="0"/>
        <v>0</v>
      </c>
      <c r="O33" s="8">
        <f t="shared" si="96"/>
        <v>3.7</v>
      </c>
      <c r="P33" s="8">
        <f t="shared" si="1"/>
        <v>3.7</v>
      </c>
      <c r="Q33" s="9"/>
      <c r="R33" s="9"/>
      <c r="S33" s="9"/>
      <c r="T33" s="8">
        <f t="shared" si="2"/>
        <v>0</v>
      </c>
      <c r="U33" s="8">
        <f t="shared" si="3"/>
        <v>3.7</v>
      </c>
      <c r="V33" s="8">
        <f t="shared" si="4"/>
        <v>3.7</v>
      </c>
      <c r="W33" s="29"/>
      <c r="X33" s="29"/>
      <c r="Y33" s="29"/>
      <c r="Z33" s="8">
        <f t="shared" si="5"/>
        <v>0</v>
      </c>
      <c r="AA33" s="8">
        <f t="shared" si="6"/>
        <v>3.7</v>
      </c>
      <c r="AB33" s="8">
        <f t="shared" si="7"/>
        <v>3.7</v>
      </c>
      <c r="AC33" s="29"/>
      <c r="AD33" s="29">
        <v>0.02</v>
      </c>
      <c r="AE33" s="29">
        <v>0</v>
      </c>
      <c r="AF33" s="8">
        <f t="shared" si="8"/>
        <v>0.02</v>
      </c>
      <c r="AG33" s="8">
        <f t="shared" si="9"/>
        <v>3.68</v>
      </c>
      <c r="AH33" s="8">
        <f t="shared" si="10"/>
        <v>3.68</v>
      </c>
      <c r="AI33" s="29"/>
      <c r="AJ33" s="29">
        <v>0.02</v>
      </c>
      <c r="AK33" s="29">
        <v>0</v>
      </c>
      <c r="AL33" s="8">
        <f t="shared" si="11"/>
        <v>0.02</v>
      </c>
      <c r="AM33" s="8">
        <f t="shared" si="12"/>
        <v>3.66</v>
      </c>
      <c r="AN33" s="8">
        <f t="shared" si="13"/>
        <v>3.66</v>
      </c>
      <c r="AO33" s="9"/>
      <c r="AP33" s="9"/>
      <c r="AQ33" s="9"/>
      <c r="AR33" s="8">
        <f t="shared" si="14"/>
        <v>0</v>
      </c>
      <c r="AS33" s="8">
        <f t="shared" si="15"/>
        <v>3.66</v>
      </c>
      <c r="AT33" s="8">
        <f t="shared" si="16"/>
        <v>3.66</v>
      </c>
      <c r="AU33" s="9"/>
      <c r="AV33" s="9"/>
      <c r="AW33" s="9"/>
      <c r="AX33" s="8">
        <f t="shared" si="17"/>
        <v>0</v>
      </c>
      <c r="AY33" s="8">
        <f t="shared" si="18"/>
        <v>3.66</v>
      </c>
      <c r="AZ33" s="8">
        <f t="shared" si="19"/>
        <v>3.66</v>
      </c>
      <c r="BA33" s="9"/>
      <c r="BB33" s="9"/>
      <c r="BC33" s="9"/>
      <c r="BD33" s="8">
        <f t="shared" si="20"/>
        <v>0</v>
      </c>
      <c r="BE33" s="8">
        <f t="shared" si="21"/>
        <v>3.66</v>
      </c>
      <c r="BF33" s="8">
        <f t="shared" si="22"/>
        <v>3.66</v>
      </c>
      <c r="BG33" s="9"/>
      <c r="BH33" s="9"/>
      <c r="BI33" s="9"/>
      <c r="BJ33" s="8">
        <f t="shared" si="23"/>
        <v>0</v>
      </c>
      <c r="BK33" s="8">
        <f t="shared" si="24"/>
        <v>3.66</v>
      </c>
      <c r="BL33" s="8">
        <f t="shared" si="25"/>
        <v>3.66</v>
      </c>
      <c r="BM33" s="9"/>
      <c r="BN33" s="9"/>
      <c r="BO33" s="9"/>
      <c r="BP33" s="8">
        <f t="shared" si="26"/>
        <v>0</v>
      </c>
      <c r="BQ33" s="8">
        <f t="shared" si="27"/>
        <v>3.66</v>
      </c>
      <c r="BR33" s="8">
        <f t="shared" si="28"/>
        <v>3.66</v>
      </c>
      <c r="BS33" s="9"/>
      <c r="BT33" s="9"/>
      <c r="BU33" s="9"/>
      <c r="BV33" s="8">
        <f t="shared" si="29"/>
        <v>0</v>
      </c>
      <c r="BW33" s="8">
        <f t="shared" si="30"/>
        <v>3.66</v>
      </c>
      <c r="BX33" s="8">
        <f t="shared" si="31"/>
        <v>3.66</v>
      </c>
      <c r="BY33" s="9"/>
      <c r="BZ33" s="9"/>
      <c r="CA33" s="9"/>
      <c r="CB33" s="8">
        <f t="shared" si="32"/>
        <v>0</v>
      </c>
      <c r="CC33" s="8">
        <f t="shared" si="33"/>
        <v>3.66</v>
      </c>
      <c r="CD33" s="8">
        <f t="shared" si="34"/>
        <v>3.66</v>
      </c>
      <c r="CE33" s="9"/>
      <c r="CF33" s="9">
        <v>0.02</v>
      </c>
      <c r="CG33" s="9">
        <v>0</v>
      </c>
      <c r="CH33" s="8">
        <f t="shared" si="35"/>
        <v>0.02</v>
      </c>
      <c r="CI33" s="8">
        <f t="shared" si="36"/>
        <v>3.64</v>
      </c>
      <c r="CJ33" s="8">
        <f t="shared" si="37"/>
        <v>3.64</v>
      </c>
      <c r="CK33" s="9"/>
      <c r="CL33" s="9">
        <v>9.2999999999999999E-2</v>
      </c>
      <c r="CM33" s="9">
        <v>0</v>
      </c>
      <c r="CN33" s="8">
        <f t="shared" si="38"/>
        <v>9.2999999999999999E-2</v>
      </c>
      <c r="CO33" s="8">
        <f t="shared" si="39"/>
        <v>3.5470000000000002</v>
      </c>
      <c r="CP33" s="8">
        <f t="shared" si="40"/>
        <v>3.5470000000000002</v>
      </c>
      <c r="CQ33" s="9"/>
      <c r="CR33" s="9"/>
      <c r="CS33" s="9"/>
      <c r="CT33" s="8">
        <f t="shared" si="41"/>
        <v>0</v>
      </c>
      <c r="CU33" s="8">
        <f t="shared" si="42"/>
        <v>3.5470000000000002</v>
      </c>
      <c r="CV33" s="8">
        <f t="shared" si="43"/>
        <v>3.5470000000000002</v>
      </c>
      <c r="CW33" s="9"/>
      <c r="CX33" s="9"/>
      <c r="CY33" s="9"/>
      <c r="CZ33" s="8">
        <f t="shared" si="44"/>
        <v>0</v>
      </c>
      <c r="DA33" s="8">
        <f t="shared" si="45"/>
        <v>3.5470000000000002</v>
      </c>
      <c r="DB33" s="8">
        <f t="shared" si="46"/>
        <v>3.5470000000000002</v>
      </c>
      <c r="DC33" s="9"/>
      <c r="DD33" s="9"/>
      <c r="DE33" s="9"/>
      <c r="DF33" s="8">
        <f t="shared" si="47"/>
        <v>0</v>
      </c>
      <c r="DG33" s="8">
        <f t="shared" si="48"/>
        <v>3.5470000000000002</v>
      </c>
      <c r="DH33" s="8">
        <f t="shared" si="49"/>
        <v>3.5470000000000002</v>
      </c>
      <c r="DI33" s="9"/>
      <c r="DJ33" s="9"/>
      <c r="DK33" s="9"/>
      <c r="DL33" s="8">
        <f t="shared" si="50"/>
        <v>0</v>
      </c>
      <c r="DM33" s="8">
        <f t="shared" si="51"/>
        <v>3.5470000000000002</v>
      </c>
      <c r="DN33" s="8">
        <f t="shared" si="52"/>
        <v>3.5470000000000002</v>
      </c>
      <c r="DO33" s="9"/>
      <c r="DP33" s="9"/>
      <c r="DQ33" s="9"/>
      <c r="DR33" s="8">
        <f t="shared" si="53"/>
        <v>0</v>
      </c>
      <c r="DS33" s="8">
        <f t="shared" si="54"/>
        <v>3.5470000000000002</v>
      </c>
      <c r="DT33" s="8">
        <f t="shared" si="55"/>
        <v>3.5470000000000002</v>
      </c>
      <c r="DU33" s="9"/>
      <c r="DV33" s="9"/>
      <c r="DW33" s="9"/>
      <c r="DX33" s="8">
        <f t="shared" si="56"/>
        <v>0</v>
      </c>
      <c r="DY33" s="8">
        <f t="shared" si="57"/>
        <v>3.5470000000000002</v>
      </c>
      <c r="DZ33" s="8">
        <f t="shared" si="58"/>
        <v>3.5470000000000002</v>
      </c>
      <c r="EA33" s="9"/>
      <c r="EB33" s="9"/>
      <c r="EC33" s="9"/>
      <c r="ED33" s="8">
        <f t="shared" si="59"/>
        <v>0</v>
      </c>
      <c r="EE33" s="8">
        <f t="shared" si="60"/>
        <v>3.5470000000000002</v>
      </c>
      <c r="EF33" s="8">
        <f t="shared" si="61"/>
        <v>3.5470000000000002</v>
      </c>
      <c r="EG33" s="9"/>
      <c r="EH33" s="9"/>
      <c r="EI33" s="9"/>
      <c r="EJ33" s="8">
        <f t="shared" si="62"/>
        <v>0</v>
      </c>
      <c r="EK33" s="8">
        <f t="shared" si="63"/>
        <v>3.5470000000000002</v>
      </c>
      <c r="EL33" s="8">
        <f t="shared" si="64"/>
        <v>3.5470000000000002</v>
      </c>
      <c r="EM33" s="9"/>
      <c r="EN33" s="9"/>
      <c r="EO33" s="9"/>
      <c r="EP33" s="8">
        <f t="shared" si="65"/>
        <v>0</v>
      </c>
      <c r="EQ33" s="8">
        <f t="shared" si="66"/>
        <v>3.5470000000000002</v>
      </c>
      <c r="ER33" s="8">
        <f t="shared" si="67"/>
        <v>3.5470000000000002</v>
      </c>
      <c r="ES33" s="9"/>
      <c r="ET33" s="9"/>
      <c r="EU33" s="9"/>
      <c r="EV33" s="8">
        <f t="shared" si="68"/>
        <v>0</v>
      </c>
      <c r="EW33" s="8">
        <f t="shared" si="69"/>
        <v>3.5470000000000002</v>
      </c>
      <c r="EX33" s="8">
        <f t="shared" si="70"/>
        <v>3.5470000000000002</v>
      </c>
      <c r="EY33" s="9"/>
      <c r="EZ33" s="9"/>
      <c r="FA33" s="9"/>
      <c r="FB33" s="8">
        <f t="shared" si="71"/>
        <v>0</v>
      </c>
      <c r="FC33" s="8">
        <f t="shared" si="72"/>
        <v>3.5470000000000002</v>
      </c>
      <c r="FD33" s="8">
        <f t="shared" si="73"/>
        <v>3.5470000000000002</v>
      </c>
      <c r="FE33" s="9"/>
      <c r="FF33" s="9"/>
      <c r="FG33" s="9"/>
      <c r="FH33" s="8">
        <f t="shared" si="74"/>
        <v>0</v>
      </c>
      <c r="FI33" s="8">
        <f t="shared" si="75"/>
        <v>3.5470000000000002</v>
      </c>
      <c r="FJ33" s="8">
        <f t="shared" si="76"/>
        <v>3.5470000000000002</v>
      </c>
      <c r="FK33" s="9"/>
      <c r="FL33" s="9"/>
      <c r="FM33" s="9"/>
      <c r="FN33" s="8">
        <f t="shared" si="77"/>
        <v>0</v>
      </c>
      <c r="FO33" s="8">
        <f t="shared" si="78"/>
        <v>3.5470000000000002</v>
      </c>
      <c r="FP33" s="8">
        <f t="shared" si="79"/>
        <v>3.5470000000000002</v>
      </c>
      <c r="FQ33" s="9"/>
      <c r="FR33" s="9"/>
      <c r="FS33" s="9"/>
      <c r="FT33" s="8">
        <f t="shared" si="80"/>
        <v>0</v>
      </c>
      <c r="FU33" s="8">
        <f t="shared" si="81"/>
        <v>3.5470000000000002</v>
      </c>
      <c r="FV33" s="8">
        <f t="shared" si="82"/>
        <v>3.5470000000000002</v>
      </c>
      <c r="FW33" s="9"/>
      <c r="FX33" s="9"/>
      <c r="FY33" s="9"/>
      <c r="FZ33" s="8">
        <f t="shared" si="83"/>
        <v>0</v>
      </c>
      <c r="GA33" s="8">
        <f t="shared" si="84"/>
        <v>3.5470000000000002</v>
      </c>
      <c r="GB33" s="8">
        <f t="shared" si="85"/>
        <v>3.5470000000000002</v>
      </c>
      <c r="GC33" s="9"/>
      <c r="GD33" s="9"/>
      <c r="GE33" s="9"/>
      <c r="GF33" s="8">
        <f t="shared" si="86"/>
        <v>0</v>
      </c>
      <c r="GG33" s="8">
        <f t="shared" si="87"/>
        <v>3.5470000000000002</v>
      </c>
      <c r="GH33" s="8">
        <f t="shared" si="88"/>
        <v>3.5470000000000002</v>
      </c>
      <c r="GI33" s="9"/>
      <c r="GJ33" s="9"/>
      <c r="GK33" s="9"/>
      <c r="GL33" s="8">
        <f t="shared" si="89"/>
        <v>0</v>
      </c>
      <c r="GM33" s="8">
        <f t="shared" si="90"/>
        <v>3.5470000000000002</v>
      </c>
      <c r="GN33" s="10">
        <f t="shared" si="91"/>
        <v>0</v>
      </c>
      <c r="GO33" s="10">
        <f t="shared" si="92"/>
        <v>0.153</v>
      </c>
      <c r="GP33" s="10">
        <f t="shared" si="93"/>
        <v>0</v>
      </c>
      <c r="GQ33" s="11">
        <f t="shared" si="94"/>
        <v>0.153</v>
      </c>
      <c r="GR33" s="11">
        <f t="shared" si="95"/>
        <v>3.5470000000000002</v>
      </c>
    </row>
    <row r="34" spans="1:200" x14ac:dyDescent="0.3">
      <c r="A34" s="6">
        <v>26</v>
      </c>
      <c r="B34" s="22" t="s">
        <v>290</v>
      </c>
      <c r="C34" s="20" t="s">
        <v>198</v>
      </c>
      <c r="D34" s="24" t="s">
        <v>362</v>
      </c>
      <c r="E34" s="16" t="s">
        <v>119</v>
      </c>
      <c r="F34" s="12" t="s">
        <v>375</v>
      </c>
      <c r="G34" s="12" t="s">
        <v>71</v>
      </c>
      <c r="H34" s="7" t="s">
        <v>70</v>
      </c>
      <c r="I34" s="8">
        <v>8</v>
      </c>
      <c r="J34" s="27">
        <v>8</v>
      </c>
      <c r="K34" s="9"/>
      <c r="L34" s="9"/>
      <c r="M34" s="9"/>
      <c r="N34" s="8">
        <f t="shared" si="0"/>
        <v>0</v>
      </c>
      <c r="O34" s="8">
        <f t="shared" si="96"/>
        <v>8</v>
      </c>
      <c r="P34" s="8">
        <f t="shared" si="1"/>
        <v>8</v>
      </c>
      <c r="Q34" s="9"/>
      <c r="R34" s="9"/>
      <c r="S34" s="9"/>
      <c r="T34" s="8">
        <f t="shared" si="2"/>
        <v>0</v>
      </c>
      <c r="U34" s="8">
        <f t="shared" si="3"/>
        <v>8</v>
      </c>
      <c r="V34" s="8">
        <f t="shared" si="4"/>
        <v>8</v>
      </c>
      <c r="W34" s="29"/>
      <c r="X34" s="29"/>
      <c r="Y34" s="29"/>
      <c r="Z34" s="8">
        <f t="shared" si="5"/>
        <v>0</v>
      </c>
      <c r="AA34" s="8">
        <f t="shared" si="6"/>
        <v>8</v>
      </c>
      <c r="AB34" s="8">
        <f t="shared" si="7"/>
        <v>8</v>
      </c>
      <c r="AC34" s="29"/>
      <c r="AD34" s="29"/>
      <c r="AE34" s="29"/>
      <c r="AF34" s="8">
        <f t="shared" si="8"/>
        <v>0</v>
      </c>
      <c r="AG34" s="8">
        <f t="shared" si="9"/>
        <v>8</v>
      </c>
      <c r="AH34" s="8">
        <f t="shared" si="10"/>
        <v>8</v>
      </c>
      <c r="AI34" s="29"/>
      <c r="AJ34" s="29"/>
      <c r="AK34" s="29"/>
      <c r="AL34" s="8">
        <f t="shared" si="11"/>
        <v>0</v>
      </c>
      <c r="AM34" s="8">
        <f t="shared" si="12"/>
        <v>8</v>
      </c>
      <c r="AN34" s="8">
        <f t="shared" si="13"/>
        <v>8</v>
      </c>
      <c r="AO34" s="9"/>
      <c r="AP34" s="9"/>
      <c r="AQ34" s="9"/>
      <c r="AR34" s="8">
        <f t="shared" si="14"/>
        <v>0</v>
      </c>
      <c r="AS34" s="8">
        <f t="shared" si="15"/>
        <v>8</v>
      </c>
      <c r="AT34" s="8">
        <f t="shared" si="16"/>
        <v>8</v>
      </c>
      <c r="AU34" s="9"/>
      <c r="AV34" s="9"/>
      <c r="AW34" s="9"/>
      <c r="AX34" s="8">
        <f t="shared" si="17"/>
        <v>0</v>
      </c>
      <c r="AY34" s="8">
        <f t="shared" si="18"/>
        <v>8</v>
      </c>
      <c r="AZ34" s="8">
        <f t="shared" si="19"/>
        <v>8</v>
      </c>
      <c r="BA34" s="9"/>
      <c r="BB34" s="9"/>
      <c r="BC34" s="9"/>
      <c r="BD34" s="8">
        <f t="shared" si="20"/>
        <v>0</v>
      </c>
      <c r="BE34" s="8">
        <f t="shared" si="21"/>
        <v>8</v>
      </c>
      <c r="BF34" s="8">
        <f t="shared" si="22"/>
        <v>8</v>
      </c>
      <c r="BG34" s="9"/>
      <c r="BH34" s="9"/>
      <c r="BI34" s="9"/>
      <c r="BJ34" s="8">
        <f t="shared" si="23"/>
        <v>0</v>
      </c>
      <c r="BK34" s="8">
        <f t="shared" si="24"/>
        <v>8</v>
      </c>
      <c r="BL34" s="8">
        <f t="shared" si="25"/>
        <v>8</v>
      </c>
      <c r="BM34" s="9"/>
      <c r="BN34" s="9"/>
      <c r="BO34" s="9"/>
      <c r="BP34" s="8">
        <f t="shared" si="26"/>
        <v>0</v>
      </c>
      <c r="BQ34" s="8">
        <f t="shared" si="27"/>
        <v>8</v>
      </c>
      <c r="BR34" s="8">
        <f t="shared" si="28"/>
        <v>8</v>
      </c>
      <c r="BS34" s="9"/>
      <c r="BT34" s="9"/>
      <c r="BU34" s="9"/>
      <c r="BV34" s="8">
        <f t="shared" si="29"/>
        <v>0</v>
      </c>
      <c r="BW34" s="8">
        <f t="shared" si="30"/>
        <v>8</v>
      </c>
      <c r="BX34" s="8">
        <f t="shared" si="31"/>
        <v>8</v>
      </c>
      <c r="BY34" s="9"/>
      <c r="BZ34" s="9"/>
      <c r="CA34" s="9"/>
      <c r="CB34" s="8">
        <f t="shared" si="32"/>
        <v>0</v>
      </c>
      <c r="CC34" s="8">
        <f t="shared" si="33"/>
        <v>8</v>
      </c>
      <c r="CD34" s="8">
        <f t="shared" si="34"/>
        <v>8</v>
      </c>
      <c r="CE34" s="9"/>
      <c r="CF34" s="9"/>
      <c r="CG34" s="9"/>
      <c r="CH34" s="8">
        <f t="shared" si="35"/>
        <v>0</v>
      </c>
      <c r="CI34" s="8">
        <f t="shared" si="36"/>
        <v>8</v>
      </c>
      <c r="CJ34" s="8">
        <f t="shared" si="37"/>
        <v>8</v>
      </c>
      <c r="CK34" s="9"/>
      <c r="CL34" s="9"/>
      <c r="CM34" s="9"/>
      <c r="CN34" s="8">
        <f t="shared" si="38"/>
        <v>0</v>
      </c>
      <c r="CO34" s="8">
        <f t="shared" si="39"/>
        <v>8</v>
      </c>
      <c r="CP34" s="8">
        <f t="shared" si="40"/>
        <v>8</v>
      </c>
    </row>
    <row r="35" spans="1:200" x14ac:dyDescent="0.3">
      <c r="A35" s="6">
        <v>27</v>
      </c>
      <c r="B35" s="22" t="s">
        <v>291</v>
      </c>
      <c r="C35" s="20" t="s">
        <v>199</v>
      </c>
      <c r="D35" s="24" t="s">
        <v>362</v>
      </c>
      <c r="E35" s="16" t="s">
        <v>120</v>
      </c>
      <c r="F35" s="12" t="s">
        <v>375</v>
      </c>
      <c r="G35" s="12" t="s">
        <v>71</v>
      </c>
      <c r="H35" s="7" t="s">
        <v>70</v>
      </c>
      <c r="I35" s="8">
        <v>1.0830000000000002</v>
      </c>
      <c r="J35" s="8">
        <v>1.0830000000000002</v>
      </c>
      <c r="K35" s="9"/>
      <c r="L35" s="9">
        <v>0.01</v>
      </c>
      <c r="M35" s="9">
        <v>0</v>
      </c>
      <c r="N35" s="8">
        <f t="shared" si="0"/>
        <v>0.01</v>
      </c>
      <c r="O35" s="8">
        <f t="shared" si="96"/>
        <v>1.0730000000000002</v>
      </c>
      <c r="P35" s="8">
        <f t="shared" si="1"/>
        <v>1.0730000000000002</v>
      </c>
      <c r="Q35" s="9"/>
      <c r="R35" s="9"/>
      <c r="S35" s="9"/>
      <c r="T35" s="8">
        <f t="shared" si="2"/>
        <v>0</v>
      </c>
      <c r="U35" s="8">
        <f t="shared" si="3"/>
        <v>1.0730000000000002</v>
      </c>
      <c r="V35" s="8">
        <f t="shared" si="4"/>
        <v>1.0730000000000002</v>
      </c>
      <c r="W35" s="29"/>
      <c r="X35" s="29">
        <v>7.0000000000000007E-2</v>
      </c>
      <c r="Y35" s="29">
        <v>0</v>
      </c>
      <c r="Z35" s="8">
        <f t="shared" si="5"/>
        <v>7.0000000000000007E-2</v>
      </c>
      <c r="AA35" s="8">
        <f t="shared" si="6"/>
        <v>1.0030000000000001</v>
      </c>
      <c r="AB35" s="8">
        <f t="shared" si="7"/>
        <v>1.0030000000000001</v>
      </c>
      <c r="AC35" s="29"/>
      <c r="AD35" s="29">
        <v>0.02</v>
      </c>
      <c r="AE35" s="29">
        <v>0</v>
      </c>
      <c r="AF35" s="8">
        <f t="shared" si="8"/>
        <v>0.02</v>
      </c>
      <c r="AG35" s="8">
        <f t="shared" si="9"/>
        <v>0.9830000000000001</v>
      </c>
      <c r="AH35" s="8">
        <f t="shared" si="10"/>
        <v>0.9830000000000001</v>
      </c>
      <c r="AI35" s="29"/>
      <c r="AJ35" s="29">
        <v>0.05</v>
      </c>
      <c r="AK35" s="29">
        <v>0</v>
      </c>
      <c r="AL35" s="8">
        <f t="shared" si="11"/>
        <v>0.05</v>
      </c>
      <c r="AM35" s="8">
        <f t="shared" si="12"/>
        <v>0.93300000000000005</v>
      </c>
      <c r="AN35" s="8">
        <f t="shared" si="13"/>
        <v>0.93300000000000005</v>
      </c>
      <c r="AO35" s="9"/>
      <c r="AP35" s="9">
        <v>2.1000000000000001E-2</v>
      </c>
      <c r="AQ35" s="9">
        <v>0</v>
      </c>
      <c r="AR35" s="8">
        <f t="shared" si="14"/>
        <v>2.1000000000000001E-2</v>
      </c>
      <c r="AS35" s="8">
        <f t="shared" si="15"/>
        <v>0.91200000000000003</v>
      </c>
      <c r="AT35" s="8">
        <f t="shared" si="16"/>
        <v>0.91200000000000003</v>
      </c>
      <c r="AU35" s="9"/>
      <c r="AV35" s="9">
        <v>0.02</v>
      </c>
      <c r="AW35" s="9">
        <v>0</v>
      </c>
      <c r="AX35" s="8">
        <f t="shared" si="17"/>
        <v>0.02</v>
      </c>
      <c r="AY35" s="8">
        <f t="shared" si="18"/>
        <v>0.89200000000000002</v>
      </c>
      <c r="AZ35" s="8">
        <f t="shared" si="19"/>
        <v>0.89200000000000002</v>
      </c>
      <c r="BA35" s="9"/>
      <c r="BB35" s="9"/>
      <c r="BC35" s="9"/>
      <c r="BD35" s="8">
        <f t="shared" si="20"/>
        <v>0</v>
      </c>
      <c r="BE35" s="8">
        <f t="shared" si="21"/>
        <v>0.89200000000000002</v>
      </c>
      <c r="BF35" s="8">
        <f t="shared" si="22"/>
        <v>0.89200000000000002</v>
      </c>
      <c r="BG35" s="9"/>
      <c r="BH35" s="9"/>
      <c r="BI35" s="9"/>
      <c r="BJ35" s="8">
        <f t="shared" si="23"/>
        <v>0</v>
      </c>
      <c r="BK35" s="8">
        <f t="shared" si="24"/>
        <v>0.89200000000000002</v>
      </c>
      <c r="BL35" s="8">
        <f t="shared" si="25"/>
        <v>0.89200000000000002</v>
      </c>
      <c r="BM35" s="9"/>
      <c r="BN35" s="9">
        <v>0.15</v>
      </c>
      <c r="BO35" s="9">
        <v>0</v>
      </c>
      <c r="BP35" s="8">
        <f t="shared" si="26"/>
        <v>0.15</v>
      </c>
      <c r="BQ35" s="8">
        <f t="shared" si="27"/>
        <v>0.74199999999999999</v>
      </c>
      <c r="BR35" s="8">
        <f t="shared" si="28"/>
        <v>0.74199999999999999</v>
      </c>
      <c r="BS35" s="9"/>
      <c r="BT35" s="9">
        <v>6.0000000000000001E-3</v>
      </c>
      <c r="BU35" s="9">
        <v>0</v>
      </c>
      <c r="BV35" s="8">
        <f t="shared" si="29"/>
        <v>6.0000000000000001E-3</v>
      </c>
      <c r="BW35" s="8">
        <f t="shared" si="30"/>
        <v>0.73599999999999999</v>
      </c>
      <c r="BX35" s="8">
        <f t="shared" si="31"/>
        <v>0.73599999999999999</v>
      </c>
      <c r="BY35" s="9"/>
      <c r="BZ35" s="9">
        <v>0.25</v>
      </c>
      <c r="CA35" s="9">
        <v>0</v>
      </c>
      <c r="CB35" s="8">
        <f t="shared" si="32"/>
        <v>0.25</v>
      </c>
      <c r="CC35" s="8">
        <f t="shared" si="33"/>
        <v>0.48599999999999999</v>
      </c>
      <c r="CD35" s="8">
        <f t="shared" si="34"/>
        <v>0.48599999999999999</v>
      </c>
      <c r="CE35" s="9"/>
      <c r="CF35" s="9">
        <v>0.17</v>
      </c>
      <c r="CG35" s="9">
        <v>0</v>
      </c>
      <c r="CH35" s="8">
        <f t="shared" si="35"/>
        <v>0.17</v>
      </c>
      <c r="CI35" s="8">
        <f t="shared" si="36"/>
        <v>0.31599999999999995</v>
      </c>
      <c r="CJ35" s="8">
        <f t="shared" si="37"/>
        <v>0.31599999999999995</v>
      </c>
      <c r="CK35" s="9"/>
      <c r="CL35" s="9">
        <v>8.8999999999999996E-2</v>
      </c>
      <c r="CM35" s="9">
        <v>0</v>
      </c>
      <c r="CN35" s="8">
        <f t="shared" si="38"/>
        <v>8.8999999999999996E-2</v>
      </c>
      <c r="CO35" s="8">
        <f t="shared" si="39"/>
        <v>0.22699999999999995</v>
      </c>
      <c r="CP35" s="8">
        <f t="shared" si="40"/>
        <v>0.22699999999999995</v>
      </c>
    </row>
    <row r="36" spans="1:200" x14ac:dyDescent="0.3">
      <c r="A36" s="6">
        <v>28</v>
      </c>
      <c r="B36" s="22" t="s">
        <v>292</v>
      </c>
      <c r="C36" s="20" t="s">
        <v>199</v>
      </c>
      <c r="D36" s="24" t="s">
        <v>362</v>
      </c>
      <c r="E36" s="16" t="s">
        <v>121</v>
      </c>
      <c r="F36" s="12" t="s">
        <v>375</v>
      </c>
      <c r="G36" s="12" t="s">
        <v>71</v>
      </c>
      <c r="H36" s="7" t="s">
        <v>70</v>
      </c>
      <c r="I36" s="8">
        <v>7.5</v>
      </c>
      <c r="J36" s="8">
        <v>7.5</v>
      </c>
      <c r="K36" s="9"/>
      <c r="L36" s="9"/>
      <c r="M36" s="9"/>
      <c r="N36" s="8">
        <f t="shared" si="0"/>
        <v>0</v>
      </c>
      <c r="O36" s="8">
        <f t="shared" si="96"/>
        <v>7.5</v>
      </c>
      <c r="P36" s="8">
        <f t="shared" si="1"/>
        <v>7.5</v>
      </c>
      <c r="Q36" s="9"/>
      <c r="R36" s="9"/>
      <c r="S36" s="9"/>
      <c r="T36" s="8">
        <f t="shared" si="2"/>
        <v>0</v>
      </c>
      <c r="U36" s="8">
        <f t="shared" si="3"/>
        <v>7.5</v>
      </c>
      <c r="V36" s="8">
        <f t="shared" si="4"/>
        <v>7.5</v>
      </c>
      <c r="W36" s="29"/>
      <c r="X36" s="29"/>
      <c r="Y36" s="29"/>
      <c r="Z36" s="8">
        <f t="shared" si="5"/>
        <v>0</v>
      </c>
      <c r="AA36" s="8">
        <f t="shared" si="6"/>
        <v>7.5</v>
      </c>
      <c r="AB36" s="8">
        <f t="shared" si="7"/>
        <v>7.5</v>
      </c>
      <c r="AC36" s="29"/>
      <c r="AD36" s="29"/>
      <c r="AE36" s="29"/>
      <c r="AF36" s="8">
        <f t="shared" si="8"/>
        <v>0</v>
      </c>
      <c r="AG36" s="8">
        <f t="shared" si="9"/>
        <v>7.5</v>
      </c>
      <c r="AH36" s="8">
        <f t="shared" si="10"/>
        <v>7.5</v>
      </c>
      <c r="AI36" s="29"/>
      <c r="AJ36" s="29"/>
      <c r="AK36" s="29"/>
      <c r="AL36" s="8">
        <f t="shared" si="11"/>
        <v>0</v>
      </c>
      <c r="AM36" s="8">
        <f t="shared" si="12"/>
        <v>7.5</v>
      </c>
      <c r="AN36" s="8">
        <f t="shared" si="13"/>
        <v>7.5</v>
      </c>
      <c r="AO36" s="9"/>
      <c r="AP36" s="9"/>
      <c r="AQ36" s="9"/>
      <c r="AR36" s="8">
        <f t="shared" si="14"/>
        <v>0</v>
      </c>
      <c r="AS36" s="8">
        <f t="shared" si="15"/>
        <v>7.5</v>
      </c>
      <c r="AT36" s="8">
        <f t="shared" si="16"/>
        <v>7.5</v>
      </c>
      <c r="AU36" s="9"/>
      <c r="AV36" s="9"/>
      <c r="AW36" s="9"/>
      <c r="AX36" s="8">
        <f t="shared" si="17"/>
        <v>0</v>
      </c>
      <c r="AY36" s="8">
        <f t="shared" si="18"/>
        <v>7.5</v>
      </c>
      <c r="AZ36" s="8">
        <f t="shared" si="19"/>
        <v>7.5</v>
      </c>
      <c r="BA36" s="9"/>
      <c r="BB36" s="9"/>
      <c r="BC36" s="9"/>
      <c r="BD36" s="8">
        <f t="shared" si="20"/>
        <v>0</v>
      </c>
      <c r="BE36" s="8">
        <f t="shared" si="21"/>
        <v>7.5</v>
      </c>
      <c r="BF36" s="8">
        <f t="shared" si="22"/>
        <v>7.5</v>
      </c>
      <c r="BG36" s="9"/>
      <c r="BH36" s="9"/>
      <c r="BI36" s="9"/>
      <c r="BJ36" s="8">
        <f t="shared" si="23"/>
        <v>0</v>
      </c>
      <c r="BK36" s="8">
        <f t="shared" si="24"/>
        <v>7.5</v>
      </c>
      <c r="BL36" s="8">
        <f t="shared" si="25"/>
        <v>7.5</v>
      </c>
      <c r="BM36" s="9"/>
      <c r="BN36" s="9"/>
      <c r="BO36" s="9"/>
      <c r="BP36" s="8">
        <f t="shared" si="26"/>
        <v>0</v>
      </c>
      <c r="BQ36" s="8">
        <f t="shared" si="27"/>
        <v>7.5</v>
      </c>
      <c r="BR36" s="8">
        <f t="shared" si="28"/>
        <v>7.5</v>
      </c>
      <c r="BS36" s="9"/>
      <c r="BT36" s="9"/>
      <c r="BU36" s="9"/>
      <c r="BV36" s="8">
        <f t="shared" si="29"/>
        <v>0</v>
      </c>
      <c r="BW36" s="8">
        <f t="shared" si="30"/>
        <v>7.5</v>
      </c>
      <c r="BX36" s="8">
        <f t="shared" si="31"/>
        <v>7.5</v>
      </c>
      <c r="BY36" s="9"/>
      <c r="BZ36" s="9"/>
      <c r="CA36" s="9"/>
      <c r="CB36" s="8">
        <f t="shared" si="32"/>
        <v>0</v>
      </c>
      <c r="CC36" s="8">
        <f t="shared" si="33"/>
        <v>7.5</v>
      </c>
      <c r="CD36" s="8">
        <f t="shared" si="34"/>
        <v>7.5</v>
      </c>
      <c r="CE36" s="9"/>
      <c r="CF36" s="9"/>
      <c r="CG36" s="9"/>
      <c r="CH36" s="8">
        <f t="shared" si="35"/>
        <v>0</v>
      </c>
      <c r="CI36" s="8">
        <f t="shared" si="36"/>
        <v>7.5</v>
      </c>
      <c r="CJ36" s="8">
        <f t="shared" si="37"/>
        <v>7.5</v>
      </c>
      <c r="CK36" s="9"/>
      <c r="CL36" s="9"/>
      <c r="CM36" s="9"/>
      <c r="CN36" s="8">
        <f t="shared" si="38"/>
        <v>0</v>
      </c>
      <c r="CO36" s="8">
        <f t="shared" si="39"/>
        <v>7.5</v>
      </c>
      <c r="CP36" s="8">
        <f t="shared" si="40"/>
        <v>7.5</v>
      </c>
    </row>
    <row r="37" spans="1:200" x14ac:dyDescent="0.3">
      <c r="A37" s="6">
        <v>29</v>
      </c>
      <c r="B37" s="22" t="s">
        <v>293</v>
      </c>
      <c r="C37" s="20" t="s">
        <v>200</v>
      </c>
      <c r="D37" s="24" t="s">
        <v>362</v>
      </c>
      <c r="E37" s="16" t="s">
        <v>122</v>
      </c>
      <c r="F37" s="12" t="s">
        <v>375</v>
      </c>
      <c r="G37" s="12" t="s">
        <v>71</v>
      </c>
      <c r="H37" s="7" t="s">
        <v>70</v>
      </c>
      <c r="I37" s="8">
        <v>6.7539999999999996</v>
      </c>
      <c r="J37" s="8">
        <v>6.7539999999999996</v>
      </c>
      <c r="K37" s="9"/>
      <c r="L37" s="9"/>
      <c r="M37" s="9"/>
      <c r="N37" s="8">
        <f t="shared" si="0"/>
        <v>0</v>
      </c>
      <c r="O37" s="8">
        <f t="shared" si="96"/>
        <v>6.7539999999999996</v>
      </c>
      <c r="P37" s="8">
        <f t="shared" si="1"/>
        <v>6.7539999999999996</v>
      </c>
      <c r="Q37" s="9"/>
      <c r="R37" s="9"/>
      <c r="S37" s="9"/>
      <c r="T37" s="8">
        <f t="shared" si="2"/>
        <v>0</v>
      </c>
      <c r="U37" s="8">
        <f t="shared" si="3"/>
        <v>6.7539999999999996</v>
      </c>
      <c r="V37" s="8">
        <f t="shared" si="4"/>
        <v>6.7539999999999996</v>
      </c>
      <c r="W37" s="29"/>
      <c r="X37" s="29"/>
      <c r="Y37" s="29"/>
      <c r="Z37" s="8">
        <f t="shared" si="5"/>
        <v>0</v>
      </c>
      <c r="AA37" s="8">
        <f t="shared" si="6"/>
        <v>6.7539999999999996</v>
      </c>
      <c r="AB37" s="8">
        <f t="shared" si="7"/>
        <v>6.7539999999999996</v>
      </c>
      <c r="AC37" s="29"/>
      <c r="AD37" s="29"/>
      <c r="AE37" s="29"/>
      <c r="AF37" s="8">
        <f t="shared" si="8"/>
        <v>0</v>
      </c>
      <c r="AG37" s="8">
        <f t="shared" si="9"/>
        <v>6.7539999999999996</v>
      </c>
      <c r="AH37" s="8">
        <f t="shared" si="10"/>
        <v>6.7539999999999996</v>
      </c>
      <c r="AI37" s="29"/>
      <c r="AJ37" s="29"/>
      <c r="AK37" s="29"/>
      <c r="AL37" s="8">
        <f t="shared" si="11"/>
        <v>0</v>
      </c>
      <c r="AM37" s="8">
        <f t="shared" si="12"/>
        <v>6.7539999999999996</v>
      </c>
      <c r="AN37" s="8">
        <f t="shared" si="13"/>
        <v>6.7539999999999996</v>
      </c>
      <c r="AO37" s="9"/>
      <c r="AP37" s="9"/>
      <c r="AQ37" s="9"/>
      <c r="AR37" s="8">
        <f t="shared" si="14"/>
        <v>0</v>
      </c>
      <c r="AS37" s="8">
        <f t="shared" si="15"/>
        <v>6.7539999999999996</v>
      </c>
      <c r="AT37" s="8">
        <f t="shared" si="16"/>
        <v>6.7539999999999996</v>
      </c>
      <c r="AU37" s="9"/>
      <c r="AV37" s="9">
        <v>5.0000000000000001E-3</v>
      </c>
      <c r="AW37" s="9">
        <v>0</v>
      </c>
      <c r="AX37" s="8">
        <f t="shared" si="17"/>
        <v>5.0000000000000001E-3</v>
      </c>
      <c r="AY37" s="8">
        <f t="shared" si="18"/>
        <v>6.7489999999999997</v>
      </c>
      <c r="AZ37" s="8">
        <f t="shared" si="19"/>
        <v>6.7489999999999997</v>
      </c>
      <c r="BA37" s="9"/>
      <c r="BB37" s="9"/>
      <c r="BC37" s="9"/>
      <c r="BD37" s="8">
        <f t="shared" si="20"/>
        <v>0</v>
      </c>
      <c r="BE37" s="8">
        <f t="shared" si="21"/>
        <v>6.7489999999999997</v>
      </c>
      <c r="BF37" s="8">
        <f t="shared" si="22"/>
        <v>6.7489999999999997</v>
      </c>
      <c r="BG37" s="9"/>
      <c r="BH37" s="9"/>
      <c r="BI37" s="9"/>
      <c r="BJ37" s="8">
        <f t="shared" si="23"/>
        <v>0</v>
      </c>
      <c r="BK37" s="8">
        <f t="shared" si="24"/>
        <v>6.7489999999999997</v>
      </c>
      <c r="BL37" s="8">
        <f t="shared" si="25"/>
        <v>6.7489999999999997</v>
      </c>
      <c r="BM37" s="9"/>
      <c r="BN37" s="9">
        <v>0.06</v>
      </c>
      <c r="BO37" s="9">
        <v>0</v>
      </c>
      <c r="BP37" s="8">
        <f t="shared" si="26"/>
        <v>0.06</v>
      </c>
      <c r="BQ37" s="8">
        <f t="shared" si="27"/>
        <v>6.6890000000000001</v>
      </c>
      <c r="BR37" s="8">
        <f t="shared" si="28"/>
        <v>6.6890000000000001</v>
      </c>
      <c r="BS37" s="9"/>
      <c r="BT37" s="9"/>
      <c r="BU37" s="9"/>
      <c r="BV37" s="8">
        <f t="shared" si="29"/>
        <v>0</v>
      </c>
      <c r="BW37" s="8">
        <f t="shared" si="30"/>
        <v>6.6890000000000001</v>
      </c>
      <c r="BX37" s="8">
        <f t="shared" si="31"/>
        <v>6.6890000000000001</v>
      </c>
      <c r="BY37" s="9"/>
      <c r="BZ37" s="9">
        <v>0.04</v>
      </c>
      <c r="CA37" s="9">
        <v>0</v>
      </c>
      <c r="CB37" s="8">
        <f t="shared" si="32"/>
        <v>0.04</v>
      </c>
      <c r="CC37" s="8">
        <f t="shared" si="33"/>
        <v>6.649</v>
      </c>
      <c r="CD37" s="8">
        <f t="shared" si="34"/>
        <v>6.649</v>
      </c>
      <c r="CE37" s="9"/>
      <c r="CF37" s="9"/>
      <c r="CG37" s="9"/>
      <c r="CH37" s="8">
        <f t="shared" si="35"/>
        <v>0</v>
      </c>
      <c r="CI37" s="8">
        <f t="shared" si="36"/>
        <v>6.649</v>
      </c>
      <c r="CJ37" s="8">
        <f t="shared" si="37"/>
        <v>6.649</v>
      </c>
      <c r="CK37" s="9"/>
      <c r="CL37" s="9">
        <v>0.06</v>
      </c>
      <c r="CM37" s="9">
        <v>0</v>
      </c>
      <c r="CN37" s="8">
        <f t="shared" si="38"/>
        <v>0.06</v>
      </c>
      <c r="CO37" s="8">
        <f t="shared" si="39"/>
        <v>6.5890000000000004</v>
      </c>
      <c r="CP37" s="8">
        <f t="shared" si="40"/>
        <v>6.5890000000000004</v>
      </c>
    </row>
    <row r="38" spans="1:200" x14ac:dyDescent="0.3">
      <c r="A38" s="6">
        <v>30</v>
      </c>
      <c r="B38" s="22" t="s">
        <v>294</v>
      </c>
      <c r="C38" s="20" t="s">
        <v>201</v>
      </c>
      <c r="D38" s="24" t="s">
        <v>362</v>
      </c>
      <c r="E38" s="16" t="s">
        <v>99</v>
      </c>
      <c r="F38" s="12" t="s">
        <v>376</v>
      </c>
      <c r="G38" s="12" t="s">
        <v>72</v>
      </c>
      <c r="H38" s="7" t="s">
        <v>70</v>
      </c>
      <c r="I38" s="8">
        <v>1.5</v>
      </c>
      <c r="J38" s="8">
        <v>1.5</v>
      </c>
      <c r="K38" s="9"/>
      <c r="L38" s="9"/>
      <c r="M38" s="9"/>
      <c r="N38" s="8">
        <f t="shared" si="0"/>
        <v>0</v>
      </c>
      <c r="O38" s="8">
        <f t="shared" si="96"/>
        <v>1.5</v>
      </c>
      <c r="P38" s="8">
        <f t="shared" si="1"/>
        <v>1.5</v>
      </c>
      <c r="Q38" s="9"/>
      <c r="R38" s="9"/>
      <c r="S38" s="9"/>
      <c r="T38" s="8">
        <f t="shared" si="2"/>
        <v>0</v>
      </c>
      <c r="U38" s="8">
        <f t="shared" si="3"/>
        <v>1.5</v>
      </c>
      <c r="V38" s="8">
        <f t="shared" si="4"/>
        <v>1.5</v>
      </c>
      <c r="W38" s="29"/>
      <c r="X38" s="29">
        <v>7.0000000000000007E-2</v>
      </c>
      <c r="Y38" s="29">
        <v>0</v>
      </c>
      <c r="Z38" s="8">
        <f t="shared" si="5"/>
        <v>7.0000000000000007E-2</v>
      </c>
      <c r="AA38" s="8">
        <f t="shared" si="6"/>
        <v>1.43</v>
      </c>
      <c r="AB38" s="8">
        <f t="shared" si="7"/>
        <v>1.43</v>
      </c>
      <c r="AC38" s="29"/>
      <c r="AD38" s="29">
        <v>0.17</v>
      </c>
      <c r="AE38" s="29">
        <v>0</v>
      </c>
      <c r="AF38" s="8">
        <f t="shared" si="8"/>
        <v>0.17</v>
      </c>
      <c r="AG38" s="8">
        <f t="shared" si="9"/>
        <v>1.26</v>
      </c>
      <c r="AH38" s="8">
        <f t="shared" si="10"/>
        <v>1.26</v>
      </c>
      <c r="AI38" s="29"/>
      <c r="AJ38" s="29"/>
      <c r="AK38" s="29"/>
      <c r="AL38" s="8">
        <f t="shared" si="11"/>
        <v>0</v>
      </c>
      <c r="AM38" s="8">
        <f t="shared" si="12"/>
        <v>1.26</v>
      </c>
      <c r="AN38" s="8">
        <f t="shared" si="13"/>
        <v>1.26</v>
      </c>
      <c r="AO38" s="9"/>
      <c r="AP38" s="9">
        <v>5.0000000000000001E-3</v>
      </c>
      <c r="AQ38" s="9">
        <v>0</v>
      </c>
      <c r="AR38" s="8">
        <f t="shared" si="14"/>
        <v>5.0000000000000001E-3</v>
      </c>
      <c r="AS38" s="8">
        <f t="shared" si="15"/>
        <v>1.2550000000000001</v>
      </c>
      <c r="AT38" s="8">
        <f t="shared" si="16"/>
        <v>1.2550000000000001</v>
      </c>
      <c r="AU38" s="9"/>
      <c r="AV38" s="9"/>
      <c r="AW38" s="9"/>
      <c r="AX38" s="8">
        <f t="shared" si="17"/>
        <v>0</v>
      </c>
      <c r="AY38" s="8">
        <f t="shared" si="18"/>
        <v>1.2550000000000001</v>
      </c>
      <c r="AZ38" s="8">
        <f t="shared" si="19"/>
        <v>1.2550000000000001</v>
      </c>
      <c r="BA38" s="9"/>
      <c r="BB38" s="9"/>
      <c r="BC38" s="9"/>
      <c r="BD38" s="8">
        <f t="shared" si="20"/>
        <v>0</v>
      </c>
      <c r="BE38" s="8">
        <f t="shared" si="21"/>
        <v>1.2550000000000001</v>
      </c>
      <c r="BF38" s="8">
        <f t="shared" si="22"/>
        <v>1.2550000000000001</v>
      </c>
      <c r="BG38" s="9"/>
      <c r="BH38" s="9"/>
      <c r="BI38" s="9"/>
      <c r="BJ38" s="8">
        <f t="shared" si="23"/>
        <v>0</v>
      </c>
      <c r="BK38" s="8">
        <f t="shared" si="24"/>
        <v>1.2550000000000001</v>
      </c>
      <c r="BL38" s="8">
        <f t="shared" si="25"/>
        <v>1.2550000000000001</v>
      </c>
      <c r="BM38" s="9"/>
      <c r="BN38" s="9"/>
      <c r="BO38" s="9"/>
      <c r="BP38" s="8">
        <f t="shared" si="26"/>
        <v>0</v>
      </c>
      <c r="BQ38" s="8">
        <f t="shared" si="27"/>
        <v>1.2550000000000001</v>
      </c>
      <c r="BR38" s="8">
        <f t="shared" si="28"/>
        <v>1.2550000000000001</v>
      </c>
      <c r="BS38" s="9"/>
      <c r="BT38" s="9">
        <v>1.2E-2</v>
      </c>
      <c r="BU38" s="9">
        <v>0</v>
      </c>
      <c r="BV38" s="8">
        <f t="shared" si="29"/>
        <v>1.2E-2</v>
      </c>
      <c r="BW38" s="8">
        <f t="shared" si="30"/>
        <v>1.2430000000000001</v>
      </c>
      <c r="BX38" s="8">
        <f t="shared" si="31"/>
        <v>1.2430000000000001</v>
      </c>
      <c r="BY38" s="9"/>
      <c r="BZ38" s="9"/>
      <c r="CA38" s="9"/>
      <c r="CB38" s="8">
        <f t="shared" si="32"/>
        <v>0</v>
      </c>
      <c r="CC38" s="8">
        <f t="shared" si="33"/>
        <v>1.2430000000000001</v>
      </c>
      <c r="CD38" s="8">
        <f t="shared" si="34"/>
        <v>1.2430000000000001</v>
      </c>
      <c r="CE38" s="9"/>
      <c r="CF38" s="9"/>
      <c r="CG38" s="9"/>
      <c r="CH38" s="8">
        <f t="shared" si="35"/>
        <v>0</v>
      </c>
      <c r="CI38" s="8">
        <f t="shared" si="36"/>
        <v>1.2430000000000001</v>
      </c>
      <c r="CJ38" s="8">
        <f t="shared" si="37"/>
        <v>1.2430000000000001</v>
      </c>
      <c r="CK38" s="9"/>
      <c r="CL38" s="9"/>
      <c r="CM38" s="9"/>
      <c r="CN38" s="8">
        <f t="shared" si="38"/>
        <v>0</v>
      </c>
      <c r="CO38" s="8">
        <f t="shared" si="39"/>
        <v>1.2430000000000001</v>
      </c>
      <c r="CP38" s="8">
        <f t="shared" si="40"/>
        <v>1.2430000000000001</v>
      </c>
    </row>
    <row r="39" spans="1:200" x14ac:dyDescent="0.3">
      <c r="A39" s="6">
        <v>31</v>
      </c>
      <c r="B39" s="22" t="s">
        <v>295</v>
      </c>
      <c r="C39" s="20" t="s">
        <v>202</v>
      </c>
      <c r="D39" s="24" t="s">
        <v>362</v>
      </c>
      <c r="E39" s="16" t="s">
        <v>123</v>
      </c>
      <c r="F39" s="12" t="s">
        <v>375</v>
      </c>
      <c r="G39" s="12" t="s">
        <v>71</v>
      </c>
      <c r="H39" s="7" t="s">
        <v>70</v>
      </c>
      <c r="I39" s="8">
        <v>9.9</v>
      </c>
      <c r="J39" s="8">
        <v>9.9</v>
      </c>
      <c r="K39" s="9"/>
      <c r="L39" s="9"/>
      <c r="M39" s="9"/>
      <c r="N39" s="8">
        <f t="shared" si="0"/>
        <v>0</v>
      </c>
      <c r="O39" s="8">
        <f t="shared" si="96"/>
        <v>9.9</v>
      </c>
      <c r="P39" s="8">
        <f t="shared" si="1"/>
        <v>9.9</v>
      </c>
      <c r="Q39" s="9"/>
      <c r="R39" s="9"/>
      <c r="S39" s="9"/>
      <c r="T39" s="8">
        <f t="shared" si="2"/>
        <v>0</v>
      </c>
      <c r="U39" s="8">
        <f t="shared" si="3"/>
        <v>9.9</v>
      </c>
      <c r="V39" s="8">
        <f t="shared" si="4"/>
        <v>9.9</v>
      </c>
      <c r="W39" s="29"/>
      <c r="X39" s="29"/>
      <c r="Y39" s="29"/>
      <c r="Z39" s="8">
        <f t="shared" si="5"/>
        <v>0</v>
      </c>
      <c r="AA39" s="8">
        <f t="shared" si="6"/>
        <v>9.9</v>
      </c>
      <c r="AB39" s="8">
        <f t="shared" si="7"/>
        <v>9.9</v>
      </c>
      <c r="AC39" s="29"/>
      <c r="AD39" s="29"/>
      <c r="AE39" s="29"/>
      <c r="AF39" s="8">
        <f t="shared" si="8"/>
        <v>0</v>
      </c>
      <c r="AG39" s="8">
        <f t="shared" si="9"/>
        <v>9.9</v>
      </c>
      <c r="AH39" s="8">
        <f t="shared" si="10"/>
        <v>9.9</v>
      </c>
      <c r="AI39" s="29"/>
      <c r="AJ39" s="29"/>
      <c r="AK39" s="29"/>
      <c r="AL39" s="8">
        <f t="shared" si="11"/>
        <v>0</v>
      </c>
      <c r="AM39" s="8">
        <f t="shared" si="12"/>
        <v>9.9</v>
      </c>
      <c r="AN39" s="8">
        <f t="shared" si="13"/>
        <v>9.9</v>
      </c>
      <c r="AO39" s="9"/>
      <c r="AP39" s="9"/>
      <c r="AQ39" s="9"/>
      <c r="AR39" s="8">
        <f t="shared" si="14"/>
        <v>0</v>
      </c>
      <c r="AS39" s="8">
        <f t="shared" si="15"/>
        <v>9.9</v>
      </c>
      <c r="AT39" s="8">
        <f t="shared" si="16"/>
        <v>9.9</v>
      </c>
      <c r="AU39" s="9"/>
      <c r="AV39" s="9"/>
      <c r="AW39" s="9"/>
      <c r="AX39" s="8">
        <f t="shared" si="17"/>
        <v>0</v>
      </c>
      <c r="AY39" s="8">
        <f t="shared" si="18"/>
        <v>9.9</v>
      </c>
      <c r="AZ39" s="8">
        <f t="shared" si="19"/>
        <v>9.9</v>
      </c>
      <c r="BA39" s="9"/>
      <c r="BB39" s="9"/>
      <c r="BC39" s="9"/>
      <c r="BD39" s="8">
        <f t="shared" si="20"/>
        <v>0</v>
      </c>
      <c r="BE39" s="8">
        <f t="shared" si="21"/>
        <v>9.9</v>
      </c>
      <c r="BF39" s="8">
        <f t="shared" si="22"/>
        <v>9.9</v>
      </c>
      <c r="BG39" s="9"/>
      <c r="BH39" s="9"/>
      <c r="BI39" s="9"/>
      <c r="BJ39" s="8">
        <f t="shared" si="23"/>
        <v>0</v>
      </c>
      <c r="BK39" s="8">
        <f t="shared" si="24"/>
        <v>9.9</v>
      </c>
      <c r="BL39" s="8">
        <f t="shared" si="25"/>
        <v>9.9</v>
      </c>
      <c r="BM39" s="9"/>
      <c r="BN39" s="9"/>
      <c r="BO39" s="9"/>
      <c r="BP39" s="8">
        <f t="shared" si="26"/>
        <v>0</v>
      </c>
      <c r="BQ39" s="8">
        <f t="shared" si="27"/>
        <v>9.9</v>
      </c>
      <c r="BR39" s="8">
        <f t="shared" si="28"/>
        <v>9.9</v>
      </c>
      <c r="BS39" s="9"/>
      <c r="BT39" s="9"/>
      <c r="BU39" s="9"/>
      <c r="BV39" s="8">
        <f t="shared" si="29"/>
        <v>0</v>
      </c>
      <c r="BW39" s="8">
        <f t="shared" si="30"/>
        <v>9.9</v>
      </c>
      <c r="BX39" s="8">
        <f t="shared" si="31"/>
        <v>9.9</v>
      </c>
      <c r="BY39" s="9"/>
      <c r="BZ39" s="9"/>
      <c r="CA39" s="9"/>
      <c r="CB39" s="8">
        <f t="shared" si="32"/>
        <v>0</v>
      </c>
      <c r="CC39" s="8">
        <f t="shared" si="33"/>
        <v>9.9</v>
      </c>
      <c r="CD39" s="8">
        <f t="shared" si="34"/>
        <v>9.9</v>
      </c>
      <c r="CE39" s="9"/>
      <c r="CF39" s="9"/>
      <c r="CG39" s="9"/>
      <c r="CH39" s="8">
        <f t="shared" si="35"/>
        <v>0</v>
      </c>
      <c r="CI39" s="8">
        <f t="shared" si="36"/>
        <v>9.9</v>
      </c>
      <c r="CJ39" s="8">
        <f t="shared" si="37"/>
        <v>9.9</v>
      </c>
      <c r="CK39" s="9"/>
      <c r="CL39" s="9"/>
      <c r="CM39" s="9"/>
      <c r="CN39" s="8">
        <f t="shared" si="38"/>
        <v>0</v>
      </c>
      <c r="CO39" s="8">
        <f t="shared" si="39"/>
        <v>9.9</v>
      </c>
      <c r="CP39" s="8">
        <f t="shared" si="40"/>
        <v>9.9</v>
      </c>
    </row>
    <row r="40" spans="1:200" x14ac:dyDescent="0.3">
      <c r="A40" s="6">
        <v>32</v>
      </c>
      <c r="B40" s="22" t="s">
        <v>296</v>
      </c>
      <c r="C40" s="20" t="s">
        <v>203</v>
      </c>
      <c r="D40" s="24" t="s">
        <v>362</v>
      </c>
      <c r="E40" s="16" t="s">
        <v>124</v>
      </c>
      <c r="F40" s="12" t="s">
        <v>375</v>
      </c>
      <c r="G40" s="12" t="s">
        <v>71</v>
      </c>
      <c r="H40" s="7" t="s">
        <v>70</v>
      </c>
      <c r="I40" s="8">
        <v>5</v>
      </c>
      <c r="J40" s="8">
        <v>5</v>
      </c>
      <c r="K40" s="9"/>
      <c r="L40" s="9"/>
      <c r="M40" s="9"/>
      <c r="N40" s="8">
        <f t="shared" si="0"/>
        <v>0</v>
      </c>
      <c r="O40" s="8">
        <f t="shared" si="96"/>
        <v>5</v>
      </c>
      <c r="P40" s="8">
        <f t="shared" si="1"/>
        <v>5</v>
      </c>
      <c r="Q40" s="9"/>
      <c r="R40" s="9"/>
      <c r="S40" s="9"/>
      <c r="T40" s="8">
        <f t="shared" si="2"/>
        <v>0</v>
      </c>
      <c r="U40" s="8">
        <f t="shared" si="3"/>
        <v>5</v>
      </c>
      <c r="V40" s="8">
        <f t="shared" si="4"/>
        <v>5</v>
      </c>
      <c r="W40" s="29"/>
      <c r="X40" s="29"/>
      <c r="Y40" s="29"/>
      <c r="Z40" s="8">
        <f t="shared" si="5"/>
        <v>0</v>
      </c>
      <c r="AA40" s="8">
        <f t="shared" si="6"/>
        <v>5</v>
      </c>
      <c r="AB40" s="8">
        <f t="shared" si="7"/>
        <v>5</v>
      </c>
      <c r="AC40" s="29"/>
      <c r="AD40" s="29"/>
      <c r="AE40" s="29"/>
      <c r="AF40" s="8">
        <f t="shared" si="8"/>
        <v>0</v>
      </c>
      <c r="AG40" s="8">
        <f t="shared" si="9"/>
        <v>5</v>
      </c>
      <c r="AH40" s="8">
        <f t="shared" si="10"/>
        <v>5</v>
      </c>
      <c r="AI40" s="29"/>
      <c r="AJ40" s="29"/>
      <c r="AK40" s="29"/>
      <c r="AL40" s="8">
        <f t="shared" si="11"/>
        <v>0</v>
      </c>
      <c r="AM40" s="8">
        <f t="shared" si="12"/>
        <v>5</v>
      </c>
      <c r="AN40" s="8">
        <f t="shared" si="13"/>
        <v>5</v>
      </c>
      <c r="AO40" s="9"/>
      <c r="AP40" s="9"/>
      <c r="AQ40" s="9"/>
      <c r="AR40" s="8">
        <f t="shared" si="14"/>
        <v>0</v>
      </c>
      <c r="AS40" s="8">
        <f t="shared" si="15"/>
        <v>5</v>
      </c>
      <c r="AT40" s="8">
        <f t="shared" si="16"/>
        <v>5</v>
      </c>
      <c r="AU40" s="9"/>
      <c r="AV40" s="9"/>
      <c r="AW40" s="9"/>
      <c r="AX40" s="8">
        <f t="shared" si="17"/>
        <v>0</v>
      </c>
      <c r="AY40" s="8">
        <f t="shared" si="18"/>
        <v>5</v>
      </c>
      <c r="AZ40" s="8">
        <f t="shared" si="19"/>
        <v>5</v>
      </c>
      <c r="BA40" s="9"/>
      <c r="BB40" s="9"/>
      <c r="BC40" s="9"/>
      <c r="BD40" s="8">
        <f t="shared" si="20"/>
        <v>0</v>
      </c>
      <c r="BE40" s="8">
        <f t="shared" si="21"/>
        <v>5</v>
      </c>
      <c r="BF40" s="8">
        <f t="shared" si="22"/>
        <v>5</v>
      </c>
      <c r="BG40" s="9"/>
      <c r="BH40" s="9"/>
      <c r="BI40" s="9"/>
      <c r="BJ40" s="8">
        <f t="shared" si="23"/>
        <v>0</v>
      </c>
      <c r="BK40" s="8">
        <f t="shared" si="24"/>
        <v>5</v>
      </c>
      <c r="BL40" s="8">
        <f t="shared" si="25"/>
        <v>5</v>
      </c>
      <c r="BM40" s="9"/>
      <c r="BN40" s="9"/>
      <c r="BO40" s="9"/>
      <c r="BP40" s="8">
        <f t="shared" si="26"/>
        <v>0</v>
      </c>
      <c r="BQ40" s="8">
        <f t="shared" si="27"/>
        <v>5</v>
      </c>
      <c r="BR40" s="8">
        <f t="shared" si="28"/>
        <v>5</v>
      </c>
      <c r="BS40" s="9"/>
      <c r="BT40" s="9"/>
      <c r="BU40" s="9"/>
      <c r="BV40" s="8">
        <f t="shared" si="29"/>
        <v>0</v>
      </c>
      <c r="BW40" s="8">
        <f t="shared" si="30"/>
        <v>5</v>
      </c>
      <c r="BX40" s="8">
        <f t="shared" si="31"/>
        <v>5</v>
      </c>
      <c r="BY40" s="9"/>
      <c r="BZ40" s="9"/>
      <c r="CA40" s="9"/>
      <c r="CB40" s="8">
        <f t="shared" si="32"/>
        <v>0</v>
      </c>
      <c r="CC40" s="8">
        <f t="shared" si="33"/>
        <v>5</v>
      </c>
      <c r="CD40" s="8">
        <f t="shared" si="34"/>
        <v>5</v>
      </c>
      <c r="CE40" s="9"/>
      <c r="CF40" s="9"/>
      <c r="CG40" s="9"/>
      <c r="CH40" s="8">
        <f t="shared" si="35"/>
        <v>0</v>
      </c>
      <c r="CI40" s="8">
        <f t="shared" si="36"/>
        <v>5</v>
      </c>
      <c r="CJ40" s="8">
        <f t="shared" si="37"/>
        <v>5</v>
      </c>
      <c r="CK40" s="9"/>
      <c r="CL40" s="9"/>
      <c r="CM40" s="9"/>
      <c r="CN40" s="8">
        <f t="shared" si="38"/>
        <v>0</v>
      </c>
      <c r="CO40" s="8">
        <f t="shared" si="39"/>
        <v>5</v>
      </c>
      <c r="CP40" s="8">
        <f t="shared" si="40"/>
        <v>5</v>
      </c>
    </row>
    <row r="41" spans="1:200" x14ac:dyDescent="0.3">
      <c r="A41" s="6">
        <v>33</v>
      </c>
      <c r="B41" s="22" t="s">
        <v>297</v>
      </c>
      <c r="C41" s="20" t="s">
        <v>204</v>
      </c>
      <c r="D41" s="24" t="s">
        <v>362</v>
      </c>
      <c r="E41" s="16" t="s">
        <v>125</v>
      </c>
      <c r="F41" s="12" t="s">
        <v>375</v>
      </c>
      <c r="G41" s="12" t="s">
        <v>71</v>
      </c>
      <c r="H41" s="7" t="s">
        <v>70</v>
      </c>
      <c r="I41" s="8">
        <v>7.3050000000000006</v>
      </c>
      <c r="J41" s="8">
        <v>7.3050000000000006</v>
      </c>
      <c r="K41" s="9"/>
      <c r="L41" s="9"/>
      <c r="M41" s="9"/>
      <c r="N41" s="8">
        <f t="shared" si="0"/>
        <v>0</v>
      </c>
      <c r="O41" s="8">
        <f t="shared" si="96"/>
        <v>7.3050000000000006</v>
      </c>
      <c r="P41" s="8">
        <f t="shared" si="1"/>
        <v>7.3050000000000006</v>
      </c>
      <c r="Q41" s="9"/>
      <c r="R41" s="9"/>
      <c r="S41" s="9"/>
      <c r="T41" s="8">
        <f t="shared" si="2"/>
        <v>0</v>
      </c>
      <c r="U41" s="8">
        <f t="shared" si="3"/>
        <v>7.3050000000000006</v>
      </c>
      <c r="V41" s="8">
        <f t="shared" si="4"/>
        <v>7.3050000000000006</v>
      </c>
      <c r="W41" s="29"/>
      <c r="X41" s="29"/>
      <c r="Y41" s="29"/>
      <c r="Z41" s="8">
        <f t="shared" si="5"/>
        <v>0</v>
      </c>
      <c r="AA41" s="8">
        <f t="shared" si="6"/>
        <v>7.3050000000000006</v>
      </c>
      <c r="AB41" s="8">
        <f t="shared" si="7"/>
        <v>7.3050000000000006</v>
      </c>
      <c r="AC41" s="29"/>
      <c r="AD41" s="29"/>
      <c r="AE41" s="29"/>
      <c r="AF41" s="8">
        <f t="shared" si="8"/>
        <v>0</v>
      </c>
      <c r="AG41" s="8">
        <f t="shared" si="9"/>
        <v>7.3050000000000006</v>
      </c>
      <c r="AH41" s="8">
        <f t="shared" si="10"/>
        <v>7.3050000000000006</v>
      </c>
      <c r="AI41" s="29"/>
      <c r="AJ41" s="29">
        <v>0.3</v>
      </c>
      <c r="AK41" s="29">
        <v>0</v>
      </c>
      <c r="AL41" s="8">
        <f t="shared" si="11"/>
        <v>0.3</v>
      </c>
      <c r="AM41" s="8">
        <f t="shared" si="12"/>
        <v>7.0050000000000008</v>
      </c>
      <c r="AN41" s="8">
        <f t="shared" si="13"/>
        <v>7.0050000000000008</v>
      </c>
      <c r="AO41" s="9"/>
      <c r="AP41" s="9"/>
      <c r="AQ41" s="9"/>
      <c r="AR41" s="8">
        <f t="shared" si="14"/>
        <v>0</v>
      </c>
      <c r="AS41" s="8">
        <f t="shared" si="15"/>
        <v>7.0050000000000008</v>
      </c>
      <c r="AT41" s="8">
        <f t="shared" si="16"/>
        <v>7.0050000000000008</v>
      </c>
      <c r="AU41" s="9"/>
      <c r="AV41" s="9">
        <v>1</v>
      </c>
      <c r="AW41" s="9">
        <v>0</v>
      </c>
      <c r="AX41" s="8">
        <f t="shared" si="17"/>
        <v>1</v>
      </c>
      <c r="AY41" s="8">
        <f t="shared" si="18"/>
        <v>6.0050000000000008</v>
      </c>
      <c r="AZ41" s="8">
        <f t="shared" si="19"/>
        <v>6.0050000000000008</v>
      </c>
      <c r="BA41" s="9"/>
      <c r="BB41" s="9"/>
      <c r="BC41" s="9"/>
      <c r="BD41" s="8">
        <f t="shared" si="20"/>
        <v>0</v>
      </c>
      <c r="BE41" s="8">
        <f t="shared" si="21"/>
        <v>6.0050000000000008</v>
      </c>
      <c r="BF41" s="8">
        <f t="shared" si="22"/>
        <v>6.0050000000000008</v>
      </c>
      <c r="BG41" s="9"/>
      <c r="BH41" s="9"/>
      <c r="BI41" s="9"/>
      <c r="BJ41" s="8">
        <f t="shared" si="23"/>
        <v>0</v>
      </c>
      <c r="BK41" s="8">
        <f t="shared" si="24"/>
        <v>6.0050000000000008</v>
      </c>
      <c r="BL41" s="8">
        <f t="shared" si="25"/>
        <v>6.0050000000000008</v>
      </c>
      <c r="BM41" s="9"/>
      <c r="BN41" s="9"/>
      <c r="BO41" s="9"/>
      <c r="BP41" s="8">
        <f t="shared" si="26"/>
        <v>0</v>
      </c>
      <c r="BQ41" s="8">
        <f t="shared" si="27"/>
        <v>6.0050000000000008</v>
      </c>
      <c r="BR41" s="8">
        <f t="shared" si="28"/>
        <v>6.0050000000000008</v>
      </c>
      <c r="BS41" s="9"/>
      <c r="BT41" s="9"/>
      <c r="BU41" s="9"/>
      <c r="BV41" s="8">
        <f t="shared" si="29"/>
        <v>0</v>
      </c>
      <c r="BW41" s="8">
        <f t="shared" si="30"/>
        <v>6.0050000000000008</v>
      </c>
      <c r="BX41" s="8">
        <f t="shared" si="31"/>
        <v>6.0050000000000008</v>
      </c>
      <c r="BY41" s="9"/>
      <c r="BZ41" s="9"/>
      <c r="CA41" s="9"/>
      <c r="CB41" s="8">
        <f t="shared" si="32"/>
        <v>0</v>
      </c>
      <c r="CC41" s="8">
        <f t="shared" si="33"/>
        <v>6.0050000000000008</v>
      </c>
      <c r="CD41" s="8">
        <f t="shared" si="34"/>
        <v>6.0050000000000008</v>
      </c>
      <c r="CE41" s="9"/>
      <c r="CF41" s="9">
        <v>0.3</v>
      </c>
      <c r="CG41" s="9">
        <v>0</v>
      </c>
      <c r="CH41" s="8">
        <f t="shared" si="35"/>
        <v>0.3</v>
      </c>
      <c r="CI41" s="8">
        <f t="shared" si="36"/>
        <v>5.705000000000001</v>
      </c>
      <c r="CJ41" s="8">
        <f t="shared" si="37"/>
        <v>5.705000000000001</v>
      </c>
      <c r="CK41" s="9"/>
      <c r="CL41" s="9">
        <v>1.9</v>
      </c>
      <c r="CM41" s="9">
        <v>0</v>
      </c>
      <c r="CN41" s="8">
        <f t="shared" si="38"/>
        <v>1.9</v>
      </c>
      <c r="CO41" s="8">
        <f t="shared" si="39"/>
        <v>3.805000000000001</v>
      </c>
      <c r="CP41" s="8">
        <f t="shared" si="40"/>
        <v>3.805000000000001</v>
      </c>
    </row>
    <row r="42" spans="1:200" x14ac:dyDescent="0.3">
      <c r="A42" s="6">
        <v>34</v>
      </c>
      <c r="B42" s="22" t="s">
        <v>298</v>
      </c>
      <c r="C42" s="20" t="s">
        <v>205</v>
      </c>
      <c r="D42" s="24" t="s">
        <v>362</v>
      </c>
      <c r="E42" s="16" t="s">
        <v>126</v>
      </c>
      <c r="F42" s="12" t="s">
        <v>375</v>
      </c>
      <c r="G42" s="12" t="s">
        <v>71</v>
      </c>
      <c r="H42" s="7" t="s">
        <v>70</v>
      </c>
      <c r="I42" s="8">
        <v>9</v>
      </c>
      <c r="J42" s="8">
        <v>9</v>
      </c>
      <c r="K42" s="9"/>
      <c r="L42" s="9"/>
      <c r="M42" s="9"/>
      <c r="N42" s="8">
        <f t="shared" si="0"/>
        <v>0</v>
      </c>
      <c r="O42" s="8">
        <f t="shared" si="96"/>
        <v>9</v>
      </c>
      <c r="P42" s="8">
        <f t="shared" si="1"/>
        <v>9</v>
      </c>
      <c r="Q42" s="9"/>
      <c r="R42" s="9"/>
      <c r="S42" s="9"/>
      <c r="T42" s="8">
        <f t="shared" si="2"/>
        <v>0</v>
      </c>
      <c r="U42" s="8">
        <f t="shared" si="3"/>
        <v>9</v>
      </c>
      <c r="V42" s="8">
        <f t="shared" si="4"/>
        <v>9</v>
      </c>
      <c r="W42" s="29"/>
      <c r="X42" s="29"/>
      <c r="Y42" s="29"/>
      <c r="Z42" s="8">
        <f t="shared" si="5"/>
        <v>0</v>
      </c>
      <c r="AA42" s="8">
        <f t="shared" si="6"/>
        <v>9</v>
      </c>
      <c r="AB42" s="8">
        <f t="shared" si="7"/>
        <v>9</v>
      </c>
      <c r="AC42" s="29"/>
      <c r="AD42" s="29"/>
      <c r="AE42" s="29"/>
      <c r="AF42" s="8">
        <f t="shared" si="8"/>
        <v>0</v>
      </c>
      <c r="AG42" s="8">
        <f t="shared" si="9"/>
        <v>9</v>
      </c>
      <c r="AH42" s="8">
        <f t="shared" si="10"/>
        <v>9</v>
      </c>
      <c r="AI42" s="29"/>
      <c r="AJ42" s="29"/>
      <c r="AK42" s="29"/>
      <c r="AL42" s="8">
        <f t="shared" si="11"/>
        <v>0</v>
      </c>
      <c r="AM42" s="8">
        <f t="shared" si="12"/>
        <v>9</v>
      </c>
      <c r="AN42" s="8">
        <f t="shared" si="13"/>
        <v>9</v>
      </c>
      <c r="AO42" s="9"/>
      <c r="AP42" s="9"/>
      <c r="AQ42" s="9"/>
      <c r="AR42" s="8">
        <f t="shared" si="14"/>
        <v>0</v>
      </c>
      <c r="AS42" s="8">
        <f t="shared" si="15"/>
        <v>9</v>
      </c>
      <c r="AT42" s="8">
        <f t="shared" si="16"/>
        <v>9</v>
      </c>
      <c r="AU42" s="9"/>
      <c r="AV42" s="9"/>
      <c r="AW42" s="9"/>
      <c r="AX42" s="8">
        <f t="shared" si="17"/>
        <v>0</v>
      </c>
      <c r="AY42" s="8">
        <f t="shared" si="18"/>
        <v>9</v>
      </c>
      <c r="AZ42" s="8">
        <f t="shared" si="19"/>
        <v>9</v>
      </c>
      <c r="BA42" s="9"/>
      <c r="BB42" s="9"/>
      <c r="BC42" s="9"/>
      <c r="BD42" s="8">
        <f t="shared" si="20"/>
        <v>0</v>
      </c>
      <c r="BE42" s="8">
        <f t="shared" si="21"/>
        <v>9</v>
      </c>
      <c r="BF42" s="8">
        <f t="shared" si="22"/>
        <v>9</v>
      </c>
      <c r="BG42" s="9"/>
      <c r="BH42" s="9"/>
      <c r="BI42" s="9"/>
      <c r="BJ42" s="8">
        <f t="shared" si="23"/>
        <v>0</v>
      </c>
      <c r="BK42" s="8">
        <f t="shared" si="24"/>
        <v>9</v>
      </c>
      <c r="BL42" s="8">
        <f t="shared" si="25"/>
        <v>9</v>
      </c>
      <c r="BM42" s="9"/>
      <c r="BN42" s="9"/>
      <c r="BO42" s="9"/>
      <c r="BP42" s="8">
        <f t="shared" si="26"/>
        <v>0</v>
      </c>
      <c r="BQ42" s="8">
        <f t="shared" si="27"/>
        <v>9</v>
      </c>
      <c r="BR42" s="8">
        <f t="shared" si="28"/>
        <v>9</v>
      </c>
      <c r="BS42" s="9"/>
      <c r="BT42" s="9"/>
      <c r="BU42" s="9"/>
      <c r="BV42" s="8">
        <f t="shared" si="29"/>
        <v>0</v>
      </c>
      <c r="BW42" s="8">
        <f t="shared" si="30"/>
        <v>9</v>
      </c>
      <c r="BX42" s="8">
        <f t="shared" si="31"/>
        <v>9</v>
      </c>
      <c r="BY42" s="9"/>
      <c r="BZ42" s="9"/>
      <c r="CA42" s="9"/>
      <c r="CB42" s="8">
        <f t="shared" si="32"/>
        <v>0</v>
      </c>
      <c r="CC42" s="8">
        <f t="shared" si="33"/>
        <v>9</v>
      </c>
      <c r="CD42" s="8">
        <f t="shared" si="34"/>
        <v>9</v>
      </c>
      <c r="CE42" s="9"/>
      <c r="CF42" s="9"/>
      <c r="CG42" s="9"/>
      <c r="CH42" s="8">
        <f t="shared" si="35"/>
        <v>0</v>
      </c>
      <c r="CI42" s="8">
        <f t="shared" si="36"/>
        <v>9</v>
      </c>
      <c r="CJ42" s="8">
        <f t="shared" si="37"/>
        <v>9</v>
      </c>
      <c r="CK42" s="9"/>
      <c r="CL42" s="9"/>
      <c r="CM42" s="9"/>
      <c r="CN42" s="8">
        <f t="shared" si="38"/>
        <v>0</v>
      </c>
      <c r="CO42" s="8">
        <f t="shared" si="39"/>
        <v>9</v>
      </c>
      <c r="CP42" s="8">
        <f t="shared" si="40"/>
        <v>9</v>
      </c>
    </row>
    <row r="43" spans="1:200" x14ac:dyDescent="0.3">
      <c r="A43" s="6">
        <v>35</v>
      </c>
      <c r="B43" s="22" t="s">
        <v>299</v>
      </c>
      <c r="C43" s="20" t="s">
        <v>206</v>
      </c>
      <c r="D43" s="24" t="s">
        <v>362</v>
      </c>
      <c r="E43" s="16" t="s">
        <v>127</v>
      </c>
      <c r="F43" s="12" t="s">
        <v>381</v>
      </c>
      <c r="G43" s="12" t="s">
        <v>76</v>
      </c>
      <c r="H43" s="7" t="s">
        <v>70</v>
      </c>
      <c r="I43" s="8">
        <v>5.391</v>
      </c>
      <c r="J43" s="8">
        <v>5.391</v>
      </c>
      <c r="K43" s="9"/>
      <c r="L43" s="9"/>
      <c r="M43" s="9"/>
      <c r="N43" s="8">
        <f t="shared" si="0"/>
        <v>0</v>
      </c>
      <c r="O43" s="8">
        <f t="shared" si="96"/>
        <v>5.391</v>
      </c>
      <c r="P43" s="8">
        <f t="shared" si="1"/>
        <v>5.391</v>
      </c>
      <c r="Q43" s="9"/>
      <c r="R43" s="9"/>
      <c r="S43" s="9"/>
      <c r="T43" s="8">
        <f t="shared" si="2"/>
        <v>0</v>
      </c>
      <c r="U43" s="8">
        <f t="shared" si="3"/>
        <v>5.391</v>
      </c>
      <c r="V43" s="8">
        <f t="shared" si="4"/>
        <v>5.391</v>
      </c>
      <c r="W43" s="29"/>
      <c r="X43" s="29">
        <v>0.02</v>
      </c>
      <c r="Y43" s="29">
        <v>0</v>
      </c>
      <c r="Z43" s="8">
        <f t="shared" si="5"/>
        <v>0.02</v>
      </c>
      <c r="AA43" s="8">
        <f t="shared" si="6"/>
        <v>5.3710000000000004</v>
      </c>
      <c r="AB43" s="8">
        <f t="shared" si="7"/>
        <v>5.3710000000000004</v>
      </c>
      <c r="AC43" s="29"/>
      <c r="AD43" s="29"/>
      <c r="AE43" s="29"/>
      <c r="AF43" s="8">
        <f t="shared" si="8"/>
        <v>0</v>
      </c>
      <c r="AG43" s="8">
        <f t="shared" si="9"/>
        <v>5.3710000000000004</v>
      </c>
      <c r="AH43" s="8">
        <f t="shared" si="10"/>
        <v>5.3710000000000004</v>
      </c>
      <c r="AI43" s="29"/>
      <c r="AJ43" s="29"/>
      <c r="AK43" s="29"/>
      <c r="AL43" s="8">
        <f t="shared" si="11"/>
        <v>0</v>
      </c>
      <c r="AM43" s="8">
        <f t="shared" si="12"/>
        <v>5.3710000000000004</v>
      </c>
      <c r="AN43" s="8">
        <f t="shared" si="13"/>
        <v>5.3710000000000004</v>
      </c>
      <c r="AO43" s="9"/>
      <c r="AP43" s="9"/>
      <c r="AQ43" s="9"/>
      <c r="AR43" s="8">
        <f t="shared" si="14"/>
        <v>0</v>
      </c>
      <c r="AS43" s="8">
        <f t="shared" si="15"/>
        <v>5.3710000000000004</v>
      </c>
      <c r="AT43" s="8">
        <f t="shared" si="16"/>
        <v>5.3710000000000004</v>
      </c>
      <c r="AU43" s="9"/>
      <c r="AV43" s="9"/>
      <c r="AW43" s="9"/>
      <c r="AX43" s="8">
        <f t="shared" si="17"/>
        <v>0</v>
      </c>
      <c r="AY43" s="8">
        <f t="shared" si="18"/>
        <v>5.3710000000000004</v>
      </c>
      <c r="AZ43" s="8">
        <f t="shared" si="19"/>
        <v>5.3710000000000004</v>
      </c>
      <c r="BA43" s="9"/>
      <c r="BB43" s="9"/>
      <c r="BC43" s="9"/>
      <c r="BD43" s="8">
        <f t="shared" si="20"/>
        <v>0</v>
      </c>
      <c r="BE43" s="8">
        <f t="shared" si="21"/>
        <v>5.3710000000000004</v>
      </c>
      <c r="BF43" s="8">
        <f t="shared" si="22"/>
        <v>5.3710000000000004</v>
      </c>
      <c r="BG43" s="9"/>
      <c r="BH43" s="9"/>
      <c r="BI43" s="9"/>
      <c r="BJ43" s="8">
        <f t="shared" si="23"/>
        <v>0</v>
      </c>
      <c r="BK43" s="8">
        <f t="shared" si="24"/>
        <v>5.3710000000000004</v>
      </c>
      <c r="BL43" s="8">
        <f t="shared" si="25"/>
        <v>5.3710000000000004</v>
      </c>
      <c r="BM43" s="9"/>
      <c r="BN43" s="9"/>
      <c r="BO43" s="9"/>
      <c r="BP43" s="8">
        <f t="shared" si="26"/>
        <v>0</v>
      </c>
      <c r="BQ43" s="8">
        <f t="shared" si="27"/>
        <v>5.3710000000000004</v>
      </c>
      <c r="BR43" s="8">
        <f t="shared" si="28"/>
        <v>5.3710000000000004</v>
      </c>
      <c r="BS43" s="9"/>
      <c r="BT43" s="9"/>
      <c r="BU43" s="9"/>
      <c r="BV43" s="8">
        <f t="shared" si="29"/>
        <v>0</v>
      </c>
      <c r="BW43" s="8">
        <f t="shared" si="30"/>
        <v>5.3710000000000004</v>
      </c>
      <c r="BX43" s="8">
        <f t="shared" si="31"/>
        <v>5.3710000000000004</v>
      </c>
      <c r="BY43" s="9"/>
      <c r="BZ43" s="9"/>
      <c r="CA43" s="9"/>
      <c r="CB43" s="8">
        <f t="shared" si="32"/>
        <v>0</v>
      </c>
      <c r="CC43" s="8">
        <f t="shared" si="33"/>
        <v>5.3710000000000004</v>
      </c>
      <c r="CD43" s="8">
        <f t="shared" si="34"/>
        <v>5.3710000000000004</v>
      </c>
      <c r="CE43" s="9"/>
      <c r="CF43" s="9"/>
      <c r="CG43" s="9"/>
      <c r="CH43" s="8">
        <f t="shared" si="35"/>
        <v>0</v>
      </c>
      <c r="CI43" s="8">
        <f t="shared" si="36"/>
        <v>5.3710000000000004</v>
      </c>
      <c r="CJ43" s="8">
        <f t="shared" si="37"/>
        <v>5.3710000000000004</v>
      </c>
      <c r="CK43" s="9"/>
      <c r="CL43" s="9"/>
      <c r="CM43" s="9"/>
      <c r="CN43" s="8">
        <f t="shared" si="38"/>
        <v>0</v>
      </c>
      <c r="CO43" s="8">
        <f t="shared" si="39"/>
        <v>5.3710000000000004</v>
      </c>
      <c r="CP43" s="8">
        <f t="shared" si="40"/>
        <v>5.3710000000000004</v>
      </c>
    </row>
    <row r="44" spans="1:200" x14ac:dyDescent="0.3">
      <c r="A44" s="6">
        <v>36</v>
      </c>
      <c r="B44" s="22" t="s">
        <v>300</v>
      </c>
      <c r="C44" s="20" t="s">
        <v>207</v>
      </c>
      <c r="E44" s="16" t="s">
        <v>128</v>
      </c>
      <c r="F44" s="12" t="s">
        <v>382</v>
      </c>
      <c r="G44" s="12" t="s">
        <v>77</v>
      </c>
      <c r="H44" s="7" t="s">
        <v>70</v>
      </c>
      <c r="I44" s="8">
        <v>35</v>
      </c>
      <c r="J44" s="8">
        <v>35</v>
      </c>
      <c r="K44" s="9"/>
      <c r="L44" s="9"/>
      <c r="M44" s="9"/>
      <c r="N44" s="8">
        <f t="shared" si="0"/>
        <v>0</v>
      </c>
      <c r="O44" s="8">
        <f t="shared" si="96"/>
        <v>35</v>
      </c>
      <c r="P44" s="8">
        <f t="shared" si="1"/>
        <v>35</v>
      </c>
      <c r="Q44" s="9"/>
      <c r="R44" s="9"/>
      <c r="S44" s="9"/>
      <c r="T44" s="8">
        <f t="shared" si="2"/>
        <v>0</v>
      </c>
      <c r="U44" s="8">
        <f t="shared" si="3"/>
        <v>35</v>
      </c>
      <c r="V44" s="8">
        <f t="shared" si="4"/>
        <v>35</v>
      </c>
      <c r="W44" s="29"/>
      <c r="X44" s="29"/>
      <c r="Y44" s="29"/>
      <c r="Z44" s="8">
        <f t="shared" si="5"/>
        <v>0</v>
      </c>
      <c r="AA44" s="8">
        <f t="shared" si="6"/>
        <v>35</v>
      </c>
      <c r="AB44" s="8">
        <f t="shared" si="7"/>
        <v>35</v>
      </c>
      <c r="AC44" s="29"/>
      <c r="AD44" s="29"/>
      <c r="AE44" s="29"/>
      <c r="AF44" s="8">
        <f t="shared" si="8"/>
        <v>0</v>
      </c>
      <c r="AG44" s="8">
        <f t="shared" si="9"/>
        <v>35</v>
      </c>
      <c r="AH44" s="8">
        <f t="shared" si="10"/>
        <v>35</v>
      </c>
      <c r="AI44" s="29"/>
      <c r="AJ44" s="29"/>
      <c r="AK44" s="29"/>
      <c r="AL44" s="8">
        <f t="shared" si="11"/>
        <v>0</v>
      </c>
      <c r="AM44" s="8">
        <f t="shared" si="12"/>
        <v>35</v>
      </c>
      <c r="AN44" s="8">
        <f t="shared" si="13"/>
        <v>35</v>
      </c>
      <c r="AO44" s="9"/>
      <c r="AP44" s="9"/>
      <c r="AQ44" s="9"/>
      <c r="AR44" s="8">
        <f t="shared" si="14"/>
        <v>0</v>
      </c>
      <c r="AS44" s="8">
        <f t="shared" si="15"/>
        <v>35</v>
      </c>
      <c r="AT44" s="8">
        <f t="shared" si="16"/>
        <v>35</v>
      </c>
      <c r="AU44" s="9"/>
      <c r="AV44" s="9"/>
      <c r="AW44" s="9"/>
      <c r="AX44" s="8">
        <f t="shared" si="17"/>
        <v>0</v>
      </c>
      <c r="AY44" s="8">
        <f t="shared" si="18"/>
        <v>35</v>
      </c>
      <c r="AZ44" s="8">
        <f t="shared" si="19"/>
        <v>35</v>
      </c>
      <c r="BA44" s="9"/>
      <c r="BB44" s="9"/>
      <c r="BC44" s="9"/>
      <c r="BD44" s="8">
        <f t="shared" si="20"/>
        <v>0</v>
      </c>
      <c r="BE44" s="8">
        <f t="shared" si="21"/>
        <v>35</v>
      </c>
      <c r="BF44" s="8">
        <f t="shared" si="22"/>
        <v>35</v>
      </c>
      <c r="BG44" s="9"/>
      <c r="BH44" s="9"/>
      <c r="BI44" s="9"/>
      <c r="BJ44" s="8">
        <f t="shared" si="23"/>
        <v>0</v>
      </c>
      <c r="BK44" s="8">
        <f t="shared" si="24"/>
        <v>35</v>
      </c>
      <c r="BL44" s="8">
        <f t="shared" si="25"/>
        <v>35</v>
      </c>
      <c r="BM44" s="9"/>
      <c r="BN44" s="9"/>
      <c r="BO44" s="9"/>
      <c r="BP44" s="8">
        <f t="shared" si="26"/>
        <v>0</v>
      </c>
      <c r="BQ44" s="8">
        <f t="shared" si="27"/>
        <v>35</v>
      </c>
      <c r="BR44" s="8">
        <f t="shared" si="28"/>
        <v>35</v>
      </c>
      <c r="BS44" s="9"/>
      <c r="BT44" s="9"/>
      <c r="BU44" s="9"/>
      <c r="BV44" s="8">
        <f t="shared" si="29"/>
        <v>0</v>
      </c>
      <c r="BW44" s="8">
        <f t="shared" si="30"/>
        <v>35</v>
      </c>
      <c r="BX44" s="8">
        <f t="shared" si="31"/>
        <v>35</v>
      </c>
      <c r="BY44" s="9"/>
      <c r="BZ44" s="9"/>
      <c r="CA44" s="9"/>
      <c r="CB44" s="8">
        <f t="shared" si="32"/>
        <v>0</v>
      </c>
      <c r="CC44" s="8">
        <f t="shared" si="33"/>
        <v>35</v>
      </c>
      <c r="CD44" s="8">
        <f t="shared" si="34"/>
        <v>35</v>
      </c>
      <c r="CE44" s="9"/>
      <c r="CF44" s="9"/>
      <c r="CG44" s="9"/>
      <c r="CH44" s="8">
        <f t="shared" si="35"/>
        <v>0</v>
      </c>
      <c r="CI44" s="8">
        <f t="shared" si="36"/>
        <v>35</v>
      </c>
      <c r="CJ44" s="8">
        <f t="shared" si="37"/>
        <v>35</v>
      </c>
      <c r="CK44" s="9"/>
      <c r="CL44" s="9"/>
      <c r="CM44" s="9"/>
      <c r="CN44" s="8">
        <f t="shared" si="38"/>
        <v>0</v>
      </c>
      <c r="CO44" s="8">
        <f t="shared" si="39"/>
        <v>35</v>
      </c>
      <c r="CP44" s="8">
        <f t="shared" si="40"/>
        <v>35</v>
      </c>
    </row>
    <row r="45" spans="1:200" x14ac:dyDescent="0.3">
      <c r="A45" s="6">
        <v>37</v>
      </c>
      <c r="B45" s="22" t="s">
        <v>301</v>
      </c>
      <c r="C45" s="20" t="s">
        <v>208</v>
      </c>
      <c r="D45" s="25" t="s">
        <v>366</v>
      </c>
      <c r="E45" s="16" t="s">
        <v>129</v>
      </c>
      <c r="F45" s="12" t="s">
        <v>383</v>
      </c>
      <c r="G45" s="12" t="s">
        <v>78</v>
      </c>
      <c r="H45" s="7" t="s">
        <v>70</v>
      </c>
      <c r="I45" s="8">
        <v>0.5</v>
      </c>
      <c r="J45" s="8">
        <v>0.5</v>
      </c>
      <c r="K45" s="9"/>
      <c r="L45" s="9"/>
      <c r="M45" s="9"/>
      <c r="N45" s="8">
        <f t="shared" si="0"/>
        <v>0</v>
      </c>
      <c r="O45" s="8">
        <f t="shared" si="96"/>
        <v>0.5</v>
      </c>
      <c r="P45" s="8">
        <f t="shared" si="1"/>
        <v>0.5</v>
      </c>
      <c r="Q45" s="9"/>
      <c r="R45" s="9"/>
      <c r="S45" s="9"/>
      <c r="T45" s="8">
        <f t="shared" si="2"/>
        <v>0</v>
      </c>
      <c r="U45" s="8">
        <f t="shared" si="3"/>
        <v>0.5</v>
      </c>
      <c r="V45" s="8">
        <f t="shared" si="4"/>
        <v>0.5</v>
      </c>
      <c r="W45" s="29"/>
      <c r="X45" s="29"/>
      <c r="Y45" s="29"/>
      <c r="Z45" s="8">
        <f t="shared" si="5"/>
        <v>0</v>
      </c>
      <c r="AA45" s="8">
        <f t="shared" si="6"/>
        <v>0.5</v>
      </c>
      <c r="AB45" s="8">
        <f t="shared" si="7"/>
        <v>0.5</v>
      </c>
      <c r="AC45" s="29"/>
      <c r="AD45" s="29"/>
      <c r="AE45" s="29"/>
      <c r="AF45" s="8">
        <f t="shared" si="8"/>
        <v>0</v>
      </c>
      <c r="AG45" s="8">
        <f t="shared" si="9"/>
        <v>0.5</v>
      </c>
      <c r="AH45" s="8">
        <f t="shared" si="10"/>
        <v>0.5</v>
      </c>
      <c r="AI45" s="29"/>
      <c r="AJ45" s="29"/>
      <c r="AK45" s="29"/>
      <c r="AL45" s="8">
        <f t="shared" si="11"/>
        <v>0</v>
      </c>
      <c r="AM45" s="8">
        <f t="shared" si="12"/>
        <v>0.5</v>
      </c>
      <c r="AN45" s="8">
        <f t="shared" si="13"/>
        <v>0.5</v>
      </c>
      <c r="AO45" s="9"/>
      <c r="AP45" s="9"/>
      <c r="AQ45" s="9"/>
      <c r="AR45" s="8">
        <f t="shared" si="14"/>
        <v>0</v>
      </c>
      <c r="AS45" s="8">
        <f t="shared" si="15"/>
        <v>0.5</v>
      </c>
      <c r="AT45" s="8">
        <f t="shared" si="16"/>
        <v>0.5</v>
      </c>
      <c r="AU45" s="9"/>
      <c r="AV45" s="9"/>
      <c r="AW45" s="9"/>
      <c r="AX45" s="8">
        <f t="shared" si="17"/>
        <v>0</v>
      </c>
      <c r="AY45" s="8">
        <f t="shared" si="18"/>
        <v>0.5</v>
      </c>
      <c r="AZ45" s="8">
        <f t="shared" si="19"/>
        <v>0.5</v>
      </c>
      <c r="BA45" s="9"/>
      <c r="BB45" s="9"/>
      <c r="BC45" s="9"/>
      <c r="BD45" s="8">
        <f t="shared" si="20"/>
        <v>0</v>
      </c>
      <c r="BE45" s="8">
        <f t="shared" si="21"/>
        <v>0.5</v>
      </c>
      <c r="BF45" s="8">
        <f t="shared" si="22"/>
        <v>0.5</v>
      </c>
      <c r="BG45" s="9"/>
      <c r="BH45" s="9"/>
      <c r="BI45" s="9"/>
      <c r="BJ45" s="8">
        <f t="shared" si="23"/>
        <v>0</v>
      </c>
      <c r="BK45" s="8">
        <f t="shared" si="24"/>
        <v>0.5</v>
      </c>
      <c r="BL45" s="8">
        <f t="shared" si="25"/>
        <v>0.5</v>
      </c>
      <c r="BM45" s="9"/>
      <c r="BN45" s="9"/>
      <c r="BO45" s="9"/>
      <c r="BP45" s="8">
        <f t="shared" si="26"/>
        <v>0</v>
      </c>
      <c r="BQ45" s="8">
        <f t="shared" si="27"/>
        <v>0.5</v>
      </c>
      <c r="BR45" s="8">
        <f t="shared" si="28"/>
        <v>0.5</v>
      </c>
      <c r="BS45" s="9"/>
      <c r="BT45" s="9"/>
      <c r="BU45" s="9"/>
      <c r="BV45" s="8">
        <f t="shared" si="29"/>
        <v>0</v>
      </c>
      <c r="BW45" s="8">
        <f t="shared" si="30"/>
        <v>0.5</v>
      </c>
      <c r="BX45" s="8">
        <f t="shared" si="31"/>
        <v>0.5</v>
      </c>
      <c r="BY45" s="9"/>
      <c r="BZ45" s="9"/>
      <c r="CA45" s="9"/>
      <c r="CB45" s="8">
        <f t="shared" si="32"/>
        <v>0</v>
      </c>
      <c r="CC45" s="8">
        <f t="shared" si="33"/>
        <v>0.5</v>
      </c>
      <c r="CD45" s="8">
        <f t="shared" si="34"/>
        <v>0.5</v>
      </c>
      <c r="CE45" s="9"/>
      <c r="CF45" s="9"/>
      <c r="CG45" s="9"/>
      <c r="CH45" s="8">
        <f t="shared" si="35"/>
        <v>0</v>
      </c>
      <c r="CI45" s="8">
        <f t="shared" si="36"/>
        <v>0.5</v>
      </c>
      <c r="CJ45" s="8">
        <f t="shared" si="37"/>
        <v>0.5</v>
      </c>
      <c r="CK45" s="9"/>
      <c r="CL45" s="9"/>
      <c r="CM45" s="9"/>
      <c r="CN45" s="8">
        <f t="shared" si="38"/>
        <v>0</v>
      </c>
      <c r="CO45" s="8">
        <f t="shared" si="39"/>
        <v>0.5</v>
      </c>
      <c r="CP45" s="8">
        <f t="shared" si="40"/>
        <v>0.5</v>
      </c>
    </row>
    <row r="46" spans="1:200" x14ac:dyDescent="0.3">
      <c r="A46" s="6">
        <v>38</v>
      </c>
      <c r="B46" s="22" t="s">
        <v>302</v>
      </c>
      <c r="C46" s="20" t="s">
        <v>209</v>
      </c>
      <c r="D46" s="24" t="s">
        <v>362</v>
      </c>
      <c r="E46" s="16" t="s">
        <v>130</v>
      </c>
      <c r="F46" s="12" t="s">
        <v>384</v>
      </c>
      <c r="G46" s="12" t="s">
        <v>79</v>
      </c>
      <c r="H46" s="7" t="s">
        <v>70</v>
      </c>
      <c r="I46" s="8">
        <v>1922</v>
      </c>
      <c r="J46" s="8">
        <v>1922</v>
      </c>
      <c r="K46" s="9"/>
      <c r="L46" s="9"/>
      <c r="M46" s="9"/>
      <c r="N46" s="8">
        <f t="shared" si="0"/>
        <v>0</v>
      </c>
      <c r="O46" s="8">
        <f t="shared" si="96"/>
        <v>1922</v>
      </c>
      <c r="P46" s="8">
        <f t="shared" si="1"/>
        <v>1922</v>
      </c>
      <c r="Q46" s="9"/>
      <c r="R46" s="9"/>
      <c r="S46" s="9"/>
      <c r="T46" s="8">
        <f t="shared" si="2"/>
        <v>0</v>
      </c>
      <c r="U46" s="8">
        <f t="shared" si="3"/>
        <v>1922</v>
      </c>
      <c r="V46" s="8">
        <f t="shared" si="4"/>
        <v>1922</v>
      </c>
      <c r="W46" s="29"/>
      <c r="X46" s="29"/>
      <c r="Y46" s="29"/>
      <c r="Z46" s="8">
        <f t="shared" si="5"/>
        <v>0</v>
      </c>
      <c r="AA46" s="8">
        <f t="shared" si="6"/>
        <v>1922</v>
      </c>
      <c r="AB46" s="8">
        <f t="shared" si="7"/>
        <v>1922</v>
      </c>
      <c r="AC46" s="29"/>
      <c r="AD46" s="29"/>
      <c r="AE46" s="29"/>
      <c r="AF46" s="8">
        <f t="shared" si="8"/>
        <v>0</v>
      </c>
      <c r="AG46" s="8">
        <f t="shared" si="9"/>
        <v>1922</v>
      </c>
      <c r="AH46" s="8">
        <f t="shared" si="10"/>
        <v>1922</v>
      </c>
      <c r="AI46" s="29"/>
      <c r="AJ46" s="29"/>
      <c r="AK46" s="29"/>
      <c r="AL46" s="8">
        <f t="shared" si="11"/>
        <v>0</v>
      </c>
      <c r="AM46" s="8">
        <f t="shared" si="12"/>
        <v>1922</v>
      </c>
      <c r="AN46" s="8">
        <f t="shared" si="13"/>
        <v>1922</v>
      </c>
      <c r="AO46" s="9"/>
      <c r="AP46" s="9"/>
      <c r="AQ46" s="9"/>
      <c r="AR46" s="8">
        <f t="shared" si="14"/>
        <v>0</v>
      </c>
      <c r="AS46" s="8">
        <f t="shared" si="15"/>
        <v>1922</v>
      </c>
      <c r="AT46" s="8">
        <f t="shared" si="16"/>
        <v>1922</v>
      </c>
      <c r="AU46" s="9"/>
      <c r="AV46" s="9"/>
      <c r="AW46" s="9"/>
      <c r="AX46" s="8">
        <f t="shared" si="17"/>
        <v>0</v>
      </c>
      <c r="AY46" s="8">
        <f t="shared" si="18"/>
        <v>1922</v>
      </c>
      <c r="AZ46" s="8">
        <f t="shared" si="19"/>
        <v>1922</v>
      </c>
      <c r="BA46" s="9"/>
      <c r="BB46" s="9"/>
      <c r="BC46" s="9"/>
      <c r="BD46" s="8">
        <f t="shared" si="20"/>
        <v>0</v>
      </c>
      <c r="BE46" s="8">
        <f t="shared" si="21"/>
        <v>1922</v>
      </c>
      <c r="BF46" s="8">
        <f t="shared" si="22"/>
        <v>1922</v>
      </c>
      <c r="BG46" s="9"/>
      <c r="BH46" s="9"/>
      <c r="BI46" s="9"/>
      <c r="BJ46" s="8">
        <f t="shared" si="23"/>
        <v>0</v>
      </c>
      <c r="BK46" s="8">
        <f t="shared" si="24"/>
        <v>1922</v>
      </c>
      <c r="BL46" s="8">
        <f t="shared" si="25"/>
        <v>1922</v>
      </c>
      <c r="BM46" s="9"/>
      <c r="BN46" s="9"/>
      <c r="BO46" s="9"/>
      <c r="BP46" s="8">
        <f t="shared" si="26"/>
        <v>0</v>
      </c>
      <c r="BQ46" s="8">
        <f t="shared" si="27"/>
        <v>1922</v>
      </c>
      <c r="BR46" s="8">
        <f t="shared" si="28"/>
        <v>1922</v>
      </c>
      <c r="BS46" s="9"/>
      <c r="BT46" s="9">
        <v>30</v>
      </c>
      <c r="BU46" s="9">
        <v>0</v>
      </c>
      <c r="BV46" s="8">
        <f t="shared" si="29"/>
        <v>30</v>
      </c>
      <c r="BW46" s="8">
        <f t="shared" si="30"/>
        <v>1892</v>
      </c>
      <c r="BX46" s="8">
        <f t="shared" si="31"/>
        <v>1892</v>
      </c>
      <c r="BY46" s="9"/>
      <c r="BZ46" s="9"/>
      <c r="CA46" s="9"/>
      <c r="CB46" s="8">
        <f t="shared" si="32"/>
        <v>0</v>
      </c>
      <c r="CC46" s="8">
        <f t="shared" si="33"/>
        <v>1892</v>
      </c>
      <c r="CD46" s="8">
        <f t="shared" si="34"/>
        <v>1892</v>
      </c>
      <c r="CE46" s="9"/>
      <c r="CF46" s="9"/>
      <c r="CG46" s="9"/>
      <c r="CH46" s="8">
        <f t="shared" si="35"/>
        <v>0</v>
      </c>
      <c r="CI46" s="8">
        <f t="shared" si="36"/>
        <v>1892</v>
      </c>
      <c r="CJ46" s="8">
        <f t="shared" si="37"/>
        <v>1892</v>
      </c>
      <c r="CK46" s="9"/>
      <c r="CL46" s="9"/>
      <c r="CM46" s="9"/>
      <c r="CN46" s="8">
        <f t="shared" si="38"/>
        <v>0</v>
      </c>
      <c r="CO46" s="8">
        <f t="shared" si="39"/>
        <v>1892</v>
      </c>
      <c r="CP46" s="8">
        <f t="shared" si="40"/>
        <v>1892</v>
      </c>
    </row>
    <row r="47" spans="1:200" x14ac:dyDescent="0.3">
      <c r="A47" s="6">
        <v>39</v>
      </c>
      <c r="B47" s="22" t="s">
        <v>303</v>
      </c>
      <c r="C47" s="20" t="s">
        <v>210</v>
      </c>
      <c r="D47" s="24" t="s">
        <v>362</v>
      </c>
      <c r="E47" s="16" t="s">
        <v>131</v>
      </c>
      <c r="F47" s="12" t="s">
        <v>385</v>
      </c>
      <c r="G47" s="12" t="s">
        <v>80</v>
      </c>
      <c r="H47" s="7" t="s">
        <v>70</v>
      </c>
      <c r="I47" s="8">
        <v>1170</v>
      </c>
      <c r="J47" s="8">
        <v>1170</v>
      </c>
      <c r="K47" s="9"/>
      <c r="L47" s="9"/>
      <c r="M47" s="9"/>
      <c r="N47" s="8">
        <f t="shared" si="0"/>
        <v>0</v>
      </c>
      <c r="O47" s="8">
        <f t="shared" si="96"/>
        <v>1170</v>
      </c>
      <c r="P47" s="8">
        <f t="shared" si="1"/>
        <v>1170</v>
      </c>
      <c r="Q47" s="9"/>
      <c r="R47" s="9"/>
      <c r="S47" s="9"/>
      <c r="T47" s="8">
        <f t="shared" si="2"/>
        <v>0</v>
      </c>
      <c r="U47" s="8">
        <f t="shared" si="3"/>
        <v>1170</v>
      </c>
      <c r="V47" s="8">
        <f t="shared" si="4"/>
        <v>1170</v>
      </c>
      <c r="W47" s="29"/>
      <c r="X47" s="29"/>
      <c r="Y47" s="29"/>
      <c r="Z47" s="8">
        <f t="shared" si="5"/>
        <v>0</v>
      </c>
      <c r="AA47" s="8">
        <f t="shared" si="6"/>
        <v>1170</v>
      </c>
      <c r="AB47" s="8">
        <f t="shared" si="7"/>
        <v>1170</v>
      </c>
      <c r="AC47" s="29"/>
      <c r="AD47" s="29"/>
      <c r="AE47" s="29"/>
      <c r="AF47" s="8">
        <f t="shared" si="8"/>
        <v>0</v>
      </c>
      <c r="AG47" s="8">
        <f t="shared" si="9"/>
        <v>1170</v>
      </c>
      <c r="AH47" s="8">
        <f t="shared" si="10"/>
        <v>1170</v>
      </c>
      <c r="AI47" s="29"/>
      <c r="AJ47" s="29"/>
      <c r="AK47" s="29"/>
      <c r="AL47" s="8">
        <f t="shared" si="11"/>
        <v>0</v>
      </c>
      <c r="AM47" s="8">
        <f t="shared" si="12"/>
        <v>1170</v>
      </c>
      <c r="AN47" s="8">
        <f t="shared" si="13"/>
        <v>1170</v>
      </c>
      <c r="AO47" s="9"/>
      <c r="AP47" s="9"/>
      <c r="AQ47" s="9"/>
      <c r="AR47" s="8">
        <f t="shared" si="14"/>
        <v>0</v>
      </c>
      <c r="AS47" s="8">
        <f t="shared" si="15"/>
        <v>1170</v>
      </c>
      <c r="AT47" s="8">
        <f t="shared" si="16"/>
        <v>1170</v>
      </c>
      <c r="AU47" s="9"/>
      <c r="AV47" s="9"/>
      <c r="AW47" s="9"/>
      <c r="AX47" s="8">
        <f t="shared" si="17"/>
        <v>0</v>
      </c>
      <c r="AY47" s="8">
        <f t="shared" si="18"/>
        <v>1170</v>
      </c>
      <c r="AZ47" s="8">
        <f t="shared" si="19"/>
        <v>1170</v>
      </c>
      <c r="BA47" s="9"/>
      <c r="BB47" s="9"/>
      <c r="BC47" s="9"/>
      <c r="BD47" s="8">
        <f t="shared" si="20"/>
        <v>0</v>
      </c>
      <c r="BE47" s="8">
        <f t="shared" si="21"/>
        <v>1170</v>
      </c>
      <c r="BF47" s="8">
        <f t="shared" si="22"/>
        <v>1170</v>
      </c>
      <c r="BG47" s="9"/>
      <c r="BH47" s="9"/>
      <c r="BI47" s="9"/>
      <c r="BJ47" s="8">
        <f t="shared" si="23"/>
        <v>0</v>
      </c>
      <c r="BK47" s="8">
        <f t="shared" si="24"/>
        <v>1170</v>
      </c>
      <c r="BL47" s="8">
        <f t="shared" si="25"/>
        <v>1170</v>
      </c>
      <c r="BM47" s="9"/>
      <c r="BN47" s="9"/>
      <c r="BO47" s="9"/>
      <c r="BP47" s="8">
        <f t="shared" si="26"/>
        <v>0</v>
      </c>
      <c r="BQ47" s="8">
        <f t="shared" si="27"/>
        <v>1170</v>
      </c>
      <c r="BR47" s="8">
        <f t="shared" si="28"/>
        <v>1170</v>
      </c>
      <c r="BS47" s="9"/>
      <c r="BT47" s="9"/>
      <c r="BU47" s="9"/>
      <c r="BV47" s="8">
        <f t="shared" si="29"/>
        <v>0</v>
      </c>
      <c r="BW47" s="8">
        <f t="shared" si="30"/>
        <v>1170</v>
      </c>
      <c r="BX47" s="8">
        <f t="shared" si="31"/>
        <v>1170</v>
      </c>
      <c r="BY47" s="9"/>
      <c r="BZ47" s="9"/>
      <c r="CA47" s="9"/>
      <c r="CB47" s="8">
        <f t="shared" si="32"/>
        <v>0</v>
      </c>
      <c r="CC47" s="8">
        <f t="shared" si="33"/>
        <v>1170</v>
      </c>
      <c r="CD47" s="8">
        <f t="shared" si="34"/>
        <v>1170</v>
      </c>
      <c r="CE47" s="9"/>
      <c r="CF47" s="9"/>
      <c r="CG47" s="9"/>
      <c r="CH47" s="8">
        <f t="shared" si="35"/>
        <v>0</v>
      </c>
      <c r="CI47" s="8">
        <f t="shared" si="36"/>
        <v>1170</v>
      </c>
      <c r="CJ47" s="8">
        <f t="shared" si="37"/>
        <v>1170</v>
      </c>
      <c r="CK47" s="9"/>
      <c r="CL47" s="9"/>
      <c r="CM47" s="9"/>
      <c r="CN47" s="8">
        <f t="shared" si="38"/>
        <v>0</v>
      </c>
      <c r="CO47" s="8">
        <f t="shared" si="39"/>
        <v>1170</v>
      </c>
      <c r="CP47" s="8">
        <f t="shared" si="40"/>
        <v>1170</v>
      </c>
    </row>
    <row r="48" spans="1:200" ht="27.6" x14ac:dyDescent="0.3">
      <c r="A48" s="6">
        <v>40</v>
      </c>
      <c r="B48" s="22" t="s">
        <v>304</v>
      </c>
      <c r="C48" s="20" t="s">
        <v>211</v>
      </c>
      <c r="D48" s="25" t="s">
        <v>365</v>
      </c>
      <c r="E48" s="16" t="s">
        <v>132</v>
      </c>
      <c r="F48" s="12" t="s">
        <v>386</v>
      </c>
      <c r="G48" s="12" t="s">
        <v>372</v>
      </c>
      <c r="H48" s="7" t="s">
        <v>70</v>
      </c>
      <c r="I48" s="8">
        <v>80</v>
      </c>
      <c r="J48" s="8">
        <v>80</v>
      </c>
      <c r="K48" s="9"/>
      <c r="L48" s="9"/>
      <c r="M48" s="9"/>
      <c r="N48" s="8">
        <f t="shared" si="0"/>
        <v>0</v>
      </c>
      <c r="O48" s="8">
        <f t="shared" si="96"/>
        <v>80</v>
      </c>
      <c r="P48" s="8">
        <f t="shared" si="1"/>
        <v>80</v>
      </c>
      <c r="Q48" s="9"/>
      <c r="R48" s="9"/>
      <c r="S48" s="9"/>
      <c r="T48" s="8">
        <f t="shared" si="2"/>
        <v>0</v>
      </c>
      <c r="U48" s="8">
        <f t="shared" si="3"/>
        <v>80</v>
      </c>
      <c r="V48" s="8">
        <f t="shared" si="4"/>
        <v>80</v>
      </c>
      <c r="W48" s="29"/>
      <c r="X48" s="29"/>
      <c r="Y48" s="29"/>
      <c r="Z48" s="8">
        <f t="shared" si="5"/>
        <v>0</v>
      </c>
      <c r="AA48" s="8">
        <f t="shared" si="6"/>
        <v>80</v>
      </c>
      <c r="AB48" s="8">
        <f t="shared" si="7"/>
        <v>80</v>
      </c>
      <c r="AC48" s="29"/>
      <c r="AD48" s="29"/>
      <c r="AE48" s="29"/>
      <c r="AF48" s="8">
        <f t="shared" si="8"/>
        <v>0</v>
      </c>
      <c r="AG48" s="8">
        <f t="shared" si="9"/>
        <v>80</v>
      </c>
      <c r="AH48" s="8">
        <f t="shared" si="10"/>
        <v>80</v>
      </c>
      <c r="AI48" s="29"/>
      <c r="AJ48" s="29"/>
      <c r="AK48" s="29"/>
      <c r="AL48" s="8">
        <f t="shared" si="11"/>
        <v>0</v>
      </c>
      <c r="AM48" s="8">
        <f t="shared" si="12"/>
        <v>80</v>
      </c>
      <c r="AN48" s="8">
        <f t="shared" si="13"/>
        <v>80</v>
      </c>
      <c r="AO48" s="9"/>
      <c r="AP48" s="9"/>
      <c r="AQ48" s="9"/>
      <c r="AR48" s="8">
        <f t="shared" si="14"/>
        <v>0</v>
      </c>
      <c r="AS48" s="8">
        <f t="shared" si="15"/>
        <v>80</v>
      </c>
      <c r="AT48" s="8">
        <f t="shared" si="16"/>
        <v>80</v>
      </c>
      <c r="AU48" s="9"/>
      <c r="AV48" s="9"/>
      <c r="AW48" s="9"/>
      <c r="AX48" s="8">
        <f t="shared" si="17"/>
        <v>0</v>
      </c>
      <c r="AY48" s="8">
        <f t="shared" si="18"/>
        <v>80</v>
      </c>
      <c r="AZ48" s="8">
        <f t="shared" si="19"/>
        <v>80</v>
      </c>
      <c r="BA48" s="9"/>
      <c r="BB48" s="9"/>
      <c r="BC48" s="9"/>
      <c r="BD48" s="8">
        <f t="shared" si="20"/>
        <v>0</v>
      </c>
      <c r="BE48" s="8">
        <f t="shared" si="21"/>
        <v>80</v>
      </c>
      <c r="BF48" s="8">
        <f t="shared" si="22"/>
        <v>80</v>
      </c>
      <c r="BG48" s="9"/>
      <c r="BH48" s="9"/>
      <c r="BI48" s="9"/>
      <c r="BJ48" s="8">
        <f t="shared" si="23"/>
        <v>0</v>
      </c>
      <c r="BK48" s="8">
        <f t="shared" si="24"/>
        <v>80</v>
      </c>
      <c r="BL48" s="8">
        <f t="shared" si="25"/>
        <v>80</v>
      </c>
      <c r="BM48" s="9"/>
      <c r="BN48" s="9"/>
      <c r="BO48" s="9"/>
      <c r="BP48" s="8">
        <f t="shared" si="26"/>
        <v>0</v>
      </c>
      <c r="BQ48" s="8">
        <f t="shared" si="27"/>
        <v>80</v>
      </c>
      <c r="BR48" s="8">
        <f t="shared" si="28"/>
        <v>80</v>
      </c>
      <c r="BS48" s="9"/>
      <c r="BT48" s="9"/>
      <c r="BU48" s="9"/>
      <c r="BV48" s="8">
        <f t="shared" si="29"/>
        <v>0</v>
      </c>
      <c r="BW48" s="8">
        <f t="shared" si="30"/>
        <v>80</v>
      </c>
      <c r="BX48" s="8">
        <f t="shared" si="31"/>
        <v>80</v>
      </c>
      <c r="BY48" s="9"/>
      <c r="BZ48" s="9"/>
      <c r="CA48" s="9"/>
      <c r="CB48" s="8">
        <f t="shared" si="32"/>
        <v>0</v>
      </c>
      <c r="CC48" s="8">
        <f t="shared" si="33"/>
        <v>80</v>
      </c>
      <c r="CD48" s="8">
        <f t="shared" si="34"/>
        <v>80</v>
      </c>
      <c r="CE48" s="9"/>
      <c r="CF48" s="9"/>
      <c r="CG48" s="9"/>
      <c r="CH48" s="8">
        <f t="shared" si="35"/>
        <v>0</v>
      </c>
      <c r="CI48" s="8">
        <f t="shared" si="36"/>
        <v>80</v>
      </c>
      <c r="CJ48" s="8">
        <f t="shared" si="37"/>
        <v>80</v>
      </c>
      <c r="CK48" s="9"/>
      <c r="CL48" s="9"/>
      <c r="CM48" s="9"/>
      <c r="CN48" s="8">
        <f t="shared" si="38"/>
        <v>0</v>
      </c>
      <c r="CO48" s="8">
        <f t="shared" si="39"/>
        <v>80</v>
      </c>
      <c r="CP48" s="8">
        <f t="shared" si="40"/>
        <v>80</v>
      </c>
    </row>
    <row r="49" spans="1:94" ht="27.6" x14ac:dyDescent="0.3">
      <c r="A49" s="6">
        <v>41</v>
      </c>
      <c r="B49" s="22" t="s">
        <v>305</v>
      </c>
      <c r="C49" s="20" t="s">
        <v>211</v>
      </c>
      <c r="D49" s="25" t="s">
        <v>365</v>
      </c>
      <c r="E49" s="16">
        <v>3.01</v>
      </c>
      <c r="F49" s="12" t="s">
        <v>387</v>
      </c>
      <c r="G49" s="12" t="s">
        <v>81</v>
      </c>
      <c r="H49" s="7" t="s">
        <v>70</v>
      </c>
      <c r="I49" s="8">
        <v>75</v>
      </c>
      <c r="J49" s="8">
        <v>75</v>
      </c>
      <c r="K49" s="9"/>
      <c r="L49" s="9"/>
      <c r="M49" s="9"/>
      <c r="N49" s="8">
        <f t="shared" si="0"/>
        <v>0</v>
      </c>
      <c r="O49" s="8">
        <f t="shared" si="96"/>
        <v>75</v>
      </c>
      <c r="P49" s="8">
        <f t="shared" si="1"/>
        <v>75</v>
      </c>
      <c r="Q49" s="9"/>
      <c r="R49" s="9"/>
      <c r="S49" s="9"/>
      <c r="T49" s="8">
        <f t="shared" si="2"/>
        <v>0</v>
      </c>
      <c r="U49" s="8">
        <f t="shared" si="3"/>
        <v>75</v>
      </c>
      <c r="V49" s="8">
        <f t="shared" si="4"/>
        <v>75</v>
      </c>
      <c r="W49" s="29"/>
      <c r="X49" s="29"/>
      <c r="Y49" s="29"/>
      <c r="Z49" s="8">
        <f t="shared" si="5"/>
        <v>0</v>
      </c>
      <c r="AA49" s="8">
        <f t="shared" si="6"/>
        <v>75</v>
      </c>
      <c r="AB49" s="8">
        <f t="shared" si="7"/>
        <v>75</v>
      </c>
      <c r="AC49" s="29"/>
      <c r="AD49" s="29"/>
      <c r="AE49" s="29"/>
      <c r="AF49" s="8">
        <f t="shared" si="8"/>
        <v>0</v>
      </c>
      <c r="AG49" s="8">
        <f t="shared" si="9"/>
        <v>75</v>
      </c>
      <c r="AH49" s="8">
        <f t="shared" si="10"/>
        <v>75</v>
      </c>
      <c r="AI49" s="29"/>
      <c r="AJ49" s="29"/>
      <c r="AK49" s="29"/>
      <c r="AL49" s="8">
        <f t="shared" si="11"/>
        <v>0</v>
      </c>
      <c r="AM49" s="8">
        <f t="shared" si="12"/>
        <v>75</v>
      </c>
      <c r="AN49" s="8">
        <f t="shared" si="13"/>
        <v>75</v>
      </c>
      <c r="AO49" s="9"/>
      <c r="AP49" s="9"/>
      <c r="AQ49" s="9"/>
      <c r="AR49" s="8">
        <f t="shared" si="14"/>
        <v>0</v>
      </c>
      <c r="AS49" s="8">
        <f t="shared" si="15"/>
        <v>75</v>
      </c>
      <c r="AT49" s="8">
        <f t="shared" si="16"/>
        <v>75</v>
      </c>
      <c r="AU49" s="9"/>
      <c r="AV49" s="9"/>
      <c r="AW49" s="9"/>
      <c r="AX49" s="8">
        <f t="shared" si="17"/>
        <v>0</v>
      </c>
      <c r="AY49" s="8">
        <f t="shared" si="18"/>
        <v>75</v>
      </c>
      <c r="AZ49" s="8">
        <f t="shared" si="19"/>
        <v>75</v>
      </c>
      <c r="BA49" s="9"/>
      <c r="BB49" s="9"/>
      <c r="BC49" s="9"/>
      <c r="BD49" s="8">
        <f t="shared" si="20"/>
        <v>0</v>
      </c>
      <c r="BE49" s="8">
        <f t="shared" si="21"/>
        <v>75</v>
      </c>
      <c r="BF49" s="8">
        <f t="shared" si="22"/>
        <v>75</v>
      </c>
      <c r="BG49" s="9"/>
      <c r="BH49" s="9"/>
      <c r="BI49" s="9"/>
      <c r="BJ49" s="8">
        <f t="shared" si="23"/>
        <v>0</v>
      </c>
      <c r="BK49" s="8">
        <f t="shared" si="24"/>
        <v>75</v>
      </c>
      <c r="BL49" s="8">
        <f t="shared" si="25"/>
        <v>75</v>
      </c>
      <c r="BM49" s="9"/>
      <c r="BN49" s="9"/>
      <c r="BO49" s="9"/>
      <c r="BP49" s="8">
        <f t="shared" si="26"/>
        <v>0</v>
      </c>
      <c r="BQ49" s="8">
        <f t="shared" si="27"/>
        <v>75</v>
      </c>
      <c r="BR49" s="8">
        <f t="shared" si="28"/>
        <v>75</v>
      </c>
      <c r="BS49" s="9"/>
      <c r="BT49" s="9"/>
      <c r="BU49" s="9"/>
      <c r="BV49" s="8">
        <f t="shared" si="29"/>
        <v>0</v>
      </c>
      <c r="BW49" s="8">
        <f t="shared" si="30"/>
        <v>75</v>
      </c>
      <c r="BX49" s="8">
        <f t="shared" si="31"/>
        <v>75</v>
      </c>
      <c r="BY49" s="9"/>
      <c r="BZ49" s="9"/>
      <c r="CA49" s="9"/>
      <c r="CB49" s="8">
        <f t="shared" si="32"/>
        <v>0</v>
      </c>
      <c r="CC49" s="8">
        <f t="shared" si="33"/>
        <v>75</v>
      </c>
      <c r="CD49" s="8">
        <f t="shared" si="34"/>
        <v>75</v>
      </c>
      <c r="CE49" s="9"/>
      <c r="CF49" s="9"/>
      <c r="CG49" s="9"/>
      <c r="CH49" s="8">
        <f t="shared" si="35"/>
        <v>0</v>
      </c>
      <c r="CI49" s="8">
        <f t="shared" si="36"/>
        <v>75</v>
      </c>
      <c r="CJ49" s="8">
        <f t="shared" si="37"/>
        <v>75</v>
      </c>
      <c r="CK49" s="9"/>
      <c r="CL49" s="9"/>
      <c r="CM49" s="9"/>
      <c r="CN49" s="8">
        <f t="shared" si="38"/>
        <v>0</v>
      </c>
      <c r="CO49" s="8">
        <f t="shared" si="39"/>
        <v>75</v>
      </c>
      <c r="CP49" s="8">
        <f t="shared" si="40"/>
        <v>75</v>
      </c>
    </row>
    <row r="50" spans="1:94" ht="27.6" x14ac:dyDescent="0.3">
      <c r="A50" s="6">
        <v>42</v>
      </c>
      <c r="B50" s="22" t="s">
        <v>306</v>
      </c>
      <c r="C50" s="20" t="s">
        <v>211</v>
      </c>
      <c r="D50" s="25" t="s">
        <v>365</v>
      </c>
      <c r="E50" s="16">
        <v>3.2</v>
      </c>
      <c r="F50" s="12" t="s">
        <v>387</v>
      </c>
      <c r="G50" s="12" t="s">
        <v>81</v>
      </c>
      <c r="H50" s="7" t="s">
        <v>70</v>
      </c>
      <c r="I50" s="8">
        <v>125</v>
      </c>
      <c r="J50" s="8">
        <v>125</v>
      </c>
      <c r="K50" s="9"/>
      <c r="L50" s="9"/>
      <c r="M50" s="9"/>
      <c r="N50" s="8">
        <f t="shared" si="0"/>
        <v>0</v>
      </c>
      <c r="O50" s="8">
        <f t="shared" si="96"/>
        <v>125</v>
      </c>
      <c r="P50" s="8">
        <f t="shared" si="1"/>
        <v>125</v>
      </c>
      <c r="Q50" s="9"/>
      <c r="R50" s="9"/>
      <c r="S50" s="9"/>
      <c r="T50" s="8">
        <f t="shared" si="2"/>
        <v>0</v>
      </c>
      <c r="U50" s="8">
        <f t="shared" si="3"/>
        <v>125</v>
      </c>
      <c r="V50" s="8">
        <f t="shared" si="4"/>
        <v>125</v>
      </c>
      <c r="W50" s="29"/>
      <c r="X50" s="29"/>
      <c r="Y50" s="29"/>
      <c r="Z50" s="8">
        <f t="shared" si="5"/>
        <v>0</v>
      </c>
      <c r="AA50" s="8">
        <f t="shared" si="6"/>
        <v>125</v>
      </c>
      <c r="AB50" s="8">
        <f t="shared" si="7"/>
        <v>125</v>
      </c>
      <c r="AC50" s="29"/>
      <c r="AD50" s="29"/>
      <c r="AE50" s="29"/>
      <c r="AF50" s="8">
        <f t="shared" si="8"/>
        <v>0</v>
      </c>
      <c r="AG50" s="8">
        <f t="shared" si="9"/>
        <v>125</v>
      </c>
      <c r="AH50" s="8">
        <f t="shared" si="10"/>
        <v>125</v>
      </c>
      <c r="AI50" s="29"/>
      <c r="AJ50" s="29"/>
      <c r="AK50" s="29"/>
      <c r="AL50" s="8">
        <f t="shared" si="11"/>
        <v>0</v>
      </c>
      <c r="AM50" s="8">
        <f t="shared" si="12"/>
        <v>125</v>
      </c>
      <c r="AN50" s="8">
        <f t="shared" si="13"/>
        <v>125</v>
      </c>
      <c r="AO50" s="9"/>
      <c r="AP50" s="9"/>
      <c r="AQ50" s="9"/>
      <c r="AR50" s="8">
        <f t="shared" si="14"/>
        <v>0</v>
      </c>
      <c r="AS50" s="8">
        <f t="shared" si="15"/>
        <v>125</v>
      </c>
      <c r="AT50" s="8">
        <f t="shared" si="16"/>
        <v>125</v>
      </c>
      <c r="AU50" s="9"/>
      <c r="AV50" s="9"/>
      <c r="AW50" s="9"/>
      <c r="AX50" s="8">
        <f t="shared" si="17"/>
        <v>0</v>
      </c>
      <c r="AY50" s="8">
        <f t="shared" si="18"/>
        <v>125</v>
      </c>
      <c r="AZ50" s="8">
        <f t="shared" si="19"/>
        <v>125</v>
      </c>
      <c r="BA50" s="9"/>
      <c r="BB50" s="9"/>
      <c r="BC50" s="9"/>
      <c r="BD50" s="8">
        <f t="shared" si="20"/>
        <v>0</v>
      </c>
      <c r="BE50" s="8">
        <f t="shared" si="21"/>
        <v>125</v>
      </c>
      <c r="BF50" s="8">
        <f t="shared" si="22"/>
        <v>125</v>
      </c>
      <c r="BG50" s="9"/>
      <c r="BH50" s="9"/>
      <c r="BI50" s="9"/>
      <c r="BJ50" s="8">
        <f t="shared" si="23"/>
        <v>0</v>
      </c>
      <c r="BK50" s="8">
        <f t="shared" si="24"/>
        <v>125</v>
      </c>
      <c r="BL50" s="8">
        <f t="shared" si="25"/>
        <v>125</v>
      </c>
      <c r="BM50" s="9"/>
      <c r="BN50" s="9"/>
      <c r="BO50" s="9"/>
      <c r="BP50" s="8">
        <f t="shared" si="26"/>
        <v>0</v>
      </c>
      <c r="BQ50" s="8">
        <f t="shared" si="27"/>
        <v>125</v>
      </c>
      <c r="BR50" s="8">
        <f t="shared" si="28"/>
        <v>125</v>
      </c>
      <c r="BS50" s="9"/>
      <c r="BT50" s="9"/>
      <c r="BU50" s="9"/>
      <c r="BV50" s="8">
        <f t="shared" si="29"/>
        <v>0</v>
      </c>
      <c r="BW50" s="8">
        <f t="shared" si="30"/>
        <v>125</v>
      </c>
      <c r="BX50" s="8">
        <f t="shared" si="31"/>
        <v>125</v>
      </c>
      <c r="BY50" s="9"/>
      <c r="BZ50" s="9"/>
      <c r="CA50" s="9"/>
      <c r="CB50" s="8">
        <f t="shared" si="32"/>
        <v>0</v>
      </c>
      <c r="CC50" s="8">
        <f t="shared" si="33"/>
        <v>125</v>
      </c>
      <c r="CD50" s="8">
        <f t="shared" si="34"/>
        <v>125</v>
      </c>
      <c r="CE50" s="9"/>
      <c r="CF50" s="9"/>
      <c r="CG50" s="9"/>
      <c r="CH50" s="8">
        <f t="shared" si="35"/>
        <v>0</v>
      </c>
      <c r="CI50" s="8">
        <f t="shared" si="36"/>
        <v>125</v>
      </c>
      <c r="CJ50" s="8">
        <f t="shared" si="37"/>
        <v>125</v>
      </c>
      <c r="CK50" s="9"/>
      <c r="CL50" s="9"/>
      <c r="CM50" s="9"/>
      <c r="CN50" s="8">
        <f t="shared" si="38"/>
        <v>0</v>
      </c>
      <c r="CO50" s="8">
        <f t="shared" si="39"/>
        <v>125</v>
      </c>
      <c r="CP50" s="8">
        <f t="shared" si="40"/>
        <v>125</v>
      </c>
    </row>
    <row r="51" spans="1:94" ht="27.6" x14ac:dyDescent="0.3">
      <c r="A51" s="6">
        <v>43</v>
      </c>
      <c r="B51" s="22" t="s">
        <v>307</v>
      </c>
      <c r="C51" s="20" t="s">
        <v>211</v>
      </c>
      <c r="D51" s="25" t="s">
        <v>365</v>
      </c>
      <c r="E51" s="16">
        <v>3.1</v>
      </c>
      <c r="F51" s="12" t="s">
        <v>387</v>
      </c>
      <c r="G51" s="12" t="s">
        <v>81</v>
      </c>
      <c r="H51" s="7" t="s">
        <v>70</v>
      </c>
      <c r="I51" s="8">
        <v>50</v>
      </c>
      <c r="J51" s="8">
        <v>50</v>
      </c>
      <c r="K51" s="9"/>
      <c r="L51" s="9"/>
      <c r="M51" s="9"/>
      <c r="N51" s="8">
        <f t="shared" si="0"/>
        <v>0</v>
      </c>
      <c r="O51" s="8">
        <f t="shared" si="96"/>
        <v>50</v>
      </c>
      <c r="P51" s="8">
        <f t="shared" si="1"/>
        <v>50</v>
      </c>
      <c r="Q51" s="9"/>
      <c r="R51" s="9"/>
      <c r="S51" s="9"/>
      <c r="T51" s="8">
        <f t="shared" si="2"/>
        <v>0</v>
      </c>
      <c r="U51" s="8">
        <f t="shared" si="3"/>
        <v>50</v>
      </c>
      <c r="V51" s="8">
        <f t="shared" si="4"/>
        <v>50</v>
      </c>
      <c r="W51" s="29"/>
      <c r="X51" s="29"/>
      <c r="Y51" s="29"/>
      <c r="Z51" s="8">
        <f t="shared" si="5"/>
        <v>0</v>
      </c>
      <c r="AA51" s="8">
        <f t="shared" si="6"/>
        <v>50</v>
      </c>
      <c r="AB51" s="8">
        <f t="shared" si="7"/>
        <v>50</v>
      </c>
      <c r="AC51" s="29"/>
      <c r="AD51" s="29"/>
      <c r="AE51" s="29"/>
      <c r="AF51" s="8">
        <f t="shared" si="8"/>
        <v>0</v>
      </c>
      <c r="AG51" s="8">
        <f t="shared" si="9"/>
        <v>50</v>
      </c>
      <c r="AH51" s="8">
        <f t="shared" si="10"/>
        <v>50</v>
      </c>
      <c r="AI51" s="29"/>
      <c r="AJ51" s="29"/>
      <c r="AK51" s="29"/>
      <c r="AL51" s="8">
        <f t="shared" si="11"/>
        <v>0</v>
      </c>
      <c r="AM51" s="8">
        <f t="shared" si="12"/>
        <v>50</v>
      </c>
      <c r="AN51" s="8">
        <f t="shared" si="13"/>
        <v>50</v>
      </c>
      <c r="AO51" s="9"/>
      <c r="AP51" s="9"/>
      <c r="AQ51" s="9"/>
      <c r="AR51" s="8">
        <f t="shared" si="14"/>
        <v>0</v>
      </c>
      <c r="AS51" s="8">
        <f t="shared" si="15"/>
        <v>50</v>
      </c>
      <c r="AT51" s="8">
        <f t="shared" si="16"/>
        <v>50</v>
      </c>
      <c r="AU51" s="9"/>
      <c r="AV51" s="9"/>
      <c r="AW51" s="9"/>
      <c r="AX51" s="8">
        <f t="shared" si="17"/>
        <v>0</v>
      </c>
      <c r="AY51" s="8">
        <f t="shared" si="18"/>
        <v>50</v>
      </c>
      <c r="AZ51" s="8">
        <f t="shared" si="19"/>
        <v>50</v>
      </c>
      <c r="BA51" s="9"/>
      <c r="BB51" s="9"/>
      <c r="BC51" s="9"/>
      <c r="BD51" s="8">
        <f t="shared" si="20"/>
        <v>0</v>
      </c>
      <c r="BE51" s="8">
        <f t="shared" si="21"/>
        <v>50</v>
      </c>
      <c r="BF51" s="8">
        <f t="shared" si="22"/>
        <v>50</v>
      </c>
      <c r="BG51" s="9"/>
      <c r="BH51" s="9"/>
      <c r="BI51" s="9"/>
      <c r="BJ51" s="8">
        <f t="shared" si="23"/>
        <v>0</v>
      </c>
      <c r="BK51" s="8">
        <f t="shared" si="24"/>
        <v>50</v>
      </c>
      <c r="BL51" s="8">
        <f t="shared" si="25"/>
        <v>50</v>
      </c>
      <c r="BM51" s="9"/>
      <c r="BN51" s="9"/>
      <c r="BO51" s="9"/>
      <c r="BP51" s="8">
        <f t="shared" si="26"/>
        <v>0</v>
      </c>
      <c r="BQ51" s="8">
        <f t="shared" si="27"/>
        <v>50</v>
      </c>
      <c r="BR51" s="8">
        <f t="shared" si="28"/>
        <v>50</v>
      </c>
      <c r="BS51" s="9"/>
      <c r="BT51" s="9"/>
      <c r="BU51" s="9"/>
      <c r="BV51" s="8">
        <f t="shared" si="29"/>
        <v>0</v>
      </c>
      <c r="BW51" s="8">
        <f t="shared" si="30"/>
        <v>50</v>
      </c>
      <c r="BX51" s="8">
        <f t="shared" si="31"/>
        <v>50</v>
      </c>
      <c r="BY51" s="9"/>
      <c r="BZ51" s="9"/>
      <c r="CA51" s="9"/>
      <c r="CB51" s="8">
        <f t="shared" si="32"/>
        <v>0</v>
      </c>
      <c r="CC51" s="8">
        <f t="shared" si="33"/>
        <v>50</v>
      </c>
      <c r="CD51" s="8">
        <f t="shared" si="34"/>
        <v>50</v>
      </c>
      <c r="CE51" s="9"/>
      <c r="CF51" s="9"/>
      <c r="CG51" s="9"/>
      <c r="CH51" s="8">
        <f t="shared" si="35"/>
        <v>0</v>
      </c>
      <c r="CI51" s="8">
        <f t="shared" si="36"/>
        <v>50</v>
      </c>
      <c r="CJ51" s="8">
        <f t="shared" si="37"/>
        <v>50</v>
      </c>
      <c r="CK51" s="9"/>
      <c r="CL51" s="9"/>
      <c r="CM51" s="9"/>
      <c r="CN51" s="8">
        <f t="shared" si="38"/>
        <v>0</v>
      </c>
      <c r="CO51" s="8">
        <f t="shared" si="39"/>
        <v>50</v>
      </c>
      <c r="CP51" s="8">
        <f t="shared" si="40"/>
        <v>50</v>
      </c>
    </row>
    <row r="52" spans="1:94" ht="27.6" x14ac:dyDescent="0.3">
      <c r="A52" s="6">
        <v>44</v>
      </c>
      <c r="B52" s="22" t="s">
        <v>308</v>
      </c>
      <c r="C52" s="20" t="s">
        <v>211</v>
      </c>
      <c r="D52" s="25" t="s">
        <v>365</v>
      </c>
      <c r="E52" s="16" t="s">
        <v>133</v>
      </c>
      <c r="F52" s="12" t="s">
        <v>388</v>
      </c>
      <c r="G52" s="12" t="s">
        <v>82</v>
      </c>
      <c r="H52" s="7" t="s">
        <v>70</v>
      </c>
      <c r="I52" s="8">
        <v>20</v>
      </c>
      <c r="J52" s="8">
        <v>20</v>
      </c>
      <c r="K52" s="9"/>
      <c r="L52" s="9"/>
      <c r="M52" s="9"/>
      <c r="N52" s="8">
        <f t="shared" si="0"/>
        <v>0</v>
      </c>
      <c r="O52" s="8">
        <f t="shared" si="96"/>
        <v>20</v>
      </c>
      <c r="P52" s="8">
        <f t="shared" si="1"/>
        <v>20</v>
      </c>
      <c r="Q52" s="9"/>
      <c r="R52" s="9"/>
      <c r="S52" s="9"/>
      <c r="T52" s="8">
        <f t="shared" si="2"/>
        <v>0</v>
      </c>
      <c r="U52" s="8">
        <f t="shared" si="3"/>
        <v>20</v>
      </c>
      <c r="V52" s="8">
        <f t="shared" si="4"/>
        <v>20</v>
      </c>
      <c r="W52" s="29"/>
      <c r="X52" s="29"/>
      <c r="Y52" s="29"/>
      <c r="Z52" s="8">
        <f t="shared" si="5"/>
        <v>0</v>
      </c>
      <c r="AA52" s="8">
        <f t="shared" si="6"/>
        <v>20</v>
      </c>
      <c r="AB52" s="8">
        <f t="shared" si="7"/>
        <v>20</v>
      </c>
      <c r="AC52" s="29"/>
      <c r="AD52" s="29"/>
      <c r="AE52" s="29"/>
      <c r="AF52" s="8">
        <f t="shared" si="8"/>
        <v>0</v>
      </c>
      <c r="AG52" s="8">
        <f t="shared" si="9"/>
        <v>20</v>
      </c>
      <c r="AH52" s="8">
        <f t="shared" si="10"/>
        <v>20</v>
      </c>
      <c r="AI52" s="29"/>
      <c r="AJ52" s="29"/>
      <c r="AK52" s="29"/>
      <c r="AL52" s="8">
        <f t="shared" si="11"/>
        <v>0</v>
      </c>
      <c r="AM52" s="8">
        <f t="shared" si="12"/>
        <v>20</v>
      </c>
      <c r="AN52" s="8">
        <f t="shared" si="13"/>
        <v>20</v>
      </c>
      <c r="AO52" s="9"/>
      <c r="AP52" s="9"/>
      <c r="AQ52" s="9"/>
      <c r="AR52" s="8">
        <f t="shared" si="14"/>
        <v>0</v>
      </c>
      <c r="AS52" s="8">
        <f t="shared" si="15"/>
        <v>20</v>
      </c>
      <c r="AT52" s="8">
        <f t="shared" si="16"/>
        <v>20</v>
      </c>
      <c r="AU52" s="9"/>
      <c r="AV52" s="9"/>
      <c r="AW52" s="9"/>
      <c r="AX52" s="8">
        <f t="shared" si="17"/>
        <v>0</v>
      </c>
      <c r="AY52" s="8">
        <f t="shared" si="18"/>
        <v>20</v>
      </c>
      <c r="AZ52" s="8">
        <f t="shared" si="19"/>
        <v>20</v>
      </c>
      <c r="BA52" s="9"/>
      <c r="BB52" s="9"/>
      <c r="BC52" s="9"/>
      <c r="BD52" s="8">
        <f t="shared" si="20"/>
        <v>0</v>
      </c>
      <c r="BE52" s="8">
        <f t="shared" si="21"/>
        <v>20</v>
      </c>
      <c r="BF52" s="8">
        <f t="shared" si="22"/>
        <v>20</v>
      </c>
      <c r="BG52" s="9"/>
      <c r="BH52" s="9"/>
      <c r="BI52" s="9"/>
      <c r="BJ52" s="8">
        <f t="shared" si="23"/>
        <v>0</v>
      </c>
      <c r="BK52" s="8">
        <f t="shared" si="24"/>
        <v>20</v>
      </c>
      <c r="BL52" s="8">
        <f t="shared" si="25"/>
        <v>20</v>
      </c>
      <c r="BM52" s="9"/>
      <c r="BN52" s="9"/>
      <c r="BO52" s="9"/>
      <c r="BP52" s="8">
        <f t="shared" si="26"/>
        <v>0</v>
      </c>
      <c r="BQ52" s="8">
        <f t="shared" si="27"/>
        <v>20</v>
      </c>
      <c r="BR52" s="8">
        <f t="shared" si="28"/>
        <v>20</v>
      </c>
      <c r="BS52" s="9"/>
      <c r="BT52" s="9"/>
      <c r="BU52" s="9"/>
      <c r="BV52" s="8">
        <f t="shared" si="29"/>
        <v>0</v>
      </c>
      <c r="BW52" s="8">
        <f t="shared" si="30"/>
        <v>20</v>
      </c>
      <c r="BX52" s="8">
        <f t="shared" si="31"/>
        <v>20</v>
      </c>
      <c r="BY52" s="9"/>
      <c r="BZ52" s="9"/>
      <c r="CA52" s="9"/>
      <c r="CB52" s="8">
        <f t="shared" si="32"/>
        <v>0</v>
      </c>
      <c r="CC52" s="8">
        <f t="shared" si="33"/>
        <v>20</v>
      </c>
      <c r="CD52" s="8">
        <f t="shared" si="34"/>
        <v>20</v>
      </c>
      <c r="CE52" s="9"/>
      <c r="CF52" s="9"/>
      <c r="CG52" s="9"/>
      <c r="CH52" s="8">
        <f t="shared" si="35"/>
        <v>0</v>
      </c>
      <c r="CI52" s="8">
        <f t="shared" si="36"/>
        <v>20</v>
      </c>
      <c r="CJ52" s="8">
        <f t="shared" si="37"/>
        <v>20</v>
      </c>
      <c r="CK52" s="9"/>
      <c r="CL52" s="9"/>
      <c r="CM52" s="9"/>
      <c r="CN52" s="8">
        <f t="shared" si="38"/>
        <v>0</v>
      </c>
      <c r="CO52" s="8">
        <f t="shared" si="39"/>
        <v>20</v>
      </c>
      <c r="CP52" s="8">
        <f t="shared" si="40"/>
        <v>20</v>
      </c>
    </row>
    <row r="53" spans="1:94" x14ac:dyDescent="0.3">
      <c r="A53" s="6">
        <v>45</v>
      </c>
      <c r="B53" s="22" t="s">
        <v>309</v>
      </c>
      <c r="C53" s="20" t="s">
        <v>212</v>
      </c>
      <c r="D53" s="24" t="s">
        <v>362</v>
      </c>
      <c r="E53" s="16" t="s">
        <v>134</v>
      </c>
      <c r="F53" s="13" t="s">
        <v>371</v>
      </c>
      <c r="G53" s="13" t="s">
        <v>367</v>
      </c>
      <c r="H53" s="7" t="s">
        <v>70</v>
      </c>
      <c r="I53" s="8">
        <v>2</v>
      </c>
      <c r="J53" s="8">
        <v>2</v>
      </c>
      <c r="K53" s="9"/>
      <c r="L53" s="9"/>
      <c r="M53" s="9"/>
      <c r="N53" s="8">
        <f t="shared" si="0"/>
        <v>0</v>
      </c>
      <c r="O53" s="8">
        <f t="shared" si="96"/>
        <v>2</v>
      </c>
      <c r="P53" s="8">
        <f t="shared" si="1"/>
        <v>2</v>
      </c>
      <c r="Q53" s="9"/>
      <c r="R53" s="9"/>
      <c r="S53" s="9"/>
      <c r="T53" s="8">
        <f t="shared" si="2"/>
        <v>0</v>
      </c>
      <c r="U53" s="8">
        <f t="shared" si="3"/>
        <v>2</v>
      </c>
      <c r="V53" s="8">
        <f t="shared" si="4"/>
        <v>2</v>
      </c>
      <c r="W53" s="29"/>
      <c r="X53" s="29"/>
      <c r="Y53" s="29"/>
      <c r="Z53" s="8">
        <f t="shared" si="5"/>
        <v>0</v>
      </c>
      <c r="AA53" s="8">
        <f t="shared" si="6"/>
        <v>2</v>
      </c>
      <c r="AB53" s="8">
        <f t="shared" si="7"/>
        <v>2</v>
      </c>
      <c r="AC53" s="29"/>
      <c r="AD53" s="29"/>
      <c r="AE53" s="29"/>
      <c r="AF53" s="8">
        <f t="shared" si="8"/>
        <v>0</v>
      </c>
      <c r="AG53" s="8">
        <f t="shared" si="9"/>
        <v>2</v>
      </c>
      <c r="AH53" s="8">
        <f t="shared" si="10"/>
        <v>2</v>
      </c>
      <c r="AI53" s="29"/>
      <c r="AJ53" s="29"/>
      <c r="AK53" s="29"/>
      <c r="AL53" s="8">
        <f t="shared" si="11"/>
        <v>0</v>
      </c>
      <c r="AM53" s="8">
        <f t="shared" si="12"/>
        <v>2</v>
      </c>
      <c r="AN53" s="8">
        <f t="shared" si="13"/>
        <v>2</v>
      </c>
      <c r="AO53" s="9"/>
      <c r="AP53" s="9"/>
      <c r="AQ53" s="9"/>
      <c r="AR53" s="8">
        <f t="shared" si="14"/>
        <v>0</v>
      </c>
      <c r="AS53" s="8">
        <f t="shared" si="15"/>
        <v>2</v>
      </c>
      <c r="AT53" s="8">
        <f t="shared" si="16"/>
        <v>2</v>
      </c>
      <c r="AU53" s="9"/>
      <c r="AV53" s="9"/>
      <c r="AW53" s="9"/>
      <c r="AX53" s="8">
        <f t="shared" si="17"/>
        <v>0</v>
      </c>
      <c r="AY53" s="8">
        <f t="shared" si="18"/>
        <v>2</v>
      </c>
      <c r="AZ53" s="8">
        <f t="shared" si="19"/>
        <v>2</v>
      </c>
      <c r="BA53" s="9"/>
      <c r="BB53" s="9"/>
      <c r="BC53" s="9"/>
      <c r="BD53" s="8">
        <f t="shared" si="20"/>
        <v>0</v>
      </c>
      <c r="BE53" s="8">
        <f t="shared" si="21"/>
        <v>2</v>
      </c>
      <c r="BF53" s="8">
        <f t="shared" si="22"/>
        <v>2</v>
      </c>
      <c r="BG53" s="9"/>
      <c r="BH53" s="9"/>
      <c r="BI53" s="9"/>
      <c r="BJ53" s="8">
        <f t="shared" si="23"/>
        <v>0</v>
      </c>
      <c r="BK53" s="8">
        <f t="shared" si="24"/>
        <v>2</v>
      </c>
      <c r="BL53" s="8">
        <f t="shared" si="25"/>
        <v>2</v>
      </c>
      <c r="BM53" s="9"/>
      <c r="BN53" s="9"/>
      <c r="BO53" s="9"/>
      <c r="BP53" s="8">
        <f t="shared" si="26"/>
        <v>0</v>
      </c>
      <c r="BQ53" s="8">
        <f t="shared" si="27"/>
        <v>2</v>
      </c>
      <c r="BR53" s="8">
        <f t="shared" si="28"/>
        <v>2</v>
      </c>
      <c r="BS53" s="9"/>
      <c r="BT53" s="9"/>
      <c r="BU53" s="9"/>
      <c r="BV53" s="8">
        <f t="shared" si="29"/>
        <v>0</v>
      </c>
      <c r="BW53" s="8">
        <f t="shared" si="30"/>
        <v>2</v>
      </c>
      <c r="BX53" s="8">
        <f t="shared" si="31"/>
        <v>2</v>
      </c>
      <c r="BY53" s="9"/>
      <c r="BZ53" s="9"/>
      <c r="CA53" s="9"/>
      <c r="CB53" s="8">
        <f t="shared" si="32"/>
        <v>0</v>
      </c>
      <c r="CC53" s="8">
        <f t="shared" si="33"/>
        <v>2</v>
      </c>
      <c r="CD53" s="8">
        <f t="shared" si="34"/>
        <v>2</v>
      </c>
      <c r="CE53" s="9"/>
      <c r="CF53" s="9"/>
      <c r="CG53" s="9"/>
      <c r="CH53" s="8">
        <f t="shared" si="35"/>
        <v>0</v>
      </c>
      <c r="CI53" s="8">
        <f t="shared" si="36"/>
        <v>2</v>
      </c>
      <c r="CJ53" s="8">
        <f t="shared" si="37"/>
        <v>2</v>
      </c>
      <c r="CK53" s="9"/>
      <c r="CL53" s="9"/>
      <c r="CM53" s="9"/>
      <c r="CN53" s="8">
        <f t="shared" si="38"/>
        <v>0</v>
      </c>
      <c r="CO53" s="8">
        <f t="shared" si="39"/>
        <v>2</v>
      </c>
      <c r="CP53" s="8">
        <f t="shared" si="40"/>
        <v>2</v>
      </c>
    </row>
    <row r="54" spans="1:94" x14ac:dyDescent="0.3">
      <c r="A54" s="6">
        <v>46</v>
      </c>
      <c r="B54" s="22" t="s">
        <v>310</v>
      </c>
      <c r="C54" s="20" t="s">
        <v>213</v>
      </c>
      <c r="E54" s="16" t="s">
        <v>135</v>
      </c>
      <c r="F54" s="14" t="s">
        <v>389</v>
      </c>
      <c r="G54" s="14" t="s">
        <v>76</v>
      </c>
      <c r="H54" s="7" t="s">
        <v>70</v>
      </c>
      <c r="I54" s="8">
        <v>40</v>
      </c>
      <c r="J54" s="8">
        <v>40</v>
      </c>
      <c r="K54" s="9"/>
      <c r="L54" s="9"/>
      <c r="M54" s="9"/>
      <c r="N54" s="8">
        <f t="shared" si="0"/>
        <v>0</v>
      </c>
      <c r="O54" s="8">
        <f t="shared" si="96"/>
        <v>40</v>
      </c>
      <c r="P54" s="8">
        <f t="shared" si="1"/>
        <v>40</v>
      </c>
      <c r="Q54" s="9"/>
      <c r="R54" s="9"/>
      <c r="S54" s="9"/>
      <c r="T54" s="8">
        <f t="shared" si="2"/>
        <v>0</v>
      </c>
      <c r="U54" s="8">
        <f t="shared" si="3"/>
        <v>40</v>
      </c>
      <c r="V54" s="8">
        <f t="shared" si="4"/>
        <v>40</v>
      </c>
      <c r="W54" s="29"/>
      <c r="X54" s="29"/>
      <c r="Y54" s="29"/>
      <c r="Z54" s="8">
        <f t="shared" si="5"/>
        <v>0</v>
      </c>
      <c r="AA54" s="8">
        <f t="shared" si="6"/>
        <v>40</v>
      </c>
      <c r="AB54" s="8">
        <f t="shared" si="7"/>
        <v>40</v>
      </c>
      <c r="AC54" s="29"/>
      <c r="AD54" s="29"/>
      <c r="AE54" s="29"/>
      <c r="AF54" s="8">
        <f t="shared" si="8"/>
        <v>0</v>
      </c>
      <c r="AG54" s="8">
        <f t="shared" si="9"/>
        <v>40</v>
      </c>
      <c r="AH54" s="8">
        <f t="shared" si="10"/>
        <v>40</v>
      </c>
      <c r="AI54" s="29"/>
      <c r="AJ54" s="29"/>
      <c r="AK54" s="29"/>
      <c r="AL54" s="8">
        <f t="shared" si="11"/>
        <v>0</v>
      </c>
      <c r="AM54" s="8">
        <f t="shared" si="12"/>
        <v>40</v>
      </c>
      <c r="AN54" s="8">
        <f t="shared" si="13"/>
        <v>40</v>
      </c>
      <c r="AO54" s="9"/>
      <c r="AP54" s="9"/>
      <c r="AQ54" s="9"/>
      <c r="AR54" s="8">
        <f t="shared" si="14"/>
        <v>0</v>
      </c>
      <c r="AS54" s="8">
        <f t="shared" si="15"/>
        <v>40</v>
      </c>
      <c r="AT54" s="8">
        <f t="shared" si="16"/>
        <v>40</v>
      </c>
      <c r="AU54" s="9"/>
      <c r="AV54" s="9"/>
      <c r="AW54" s="9"/>
      <c r="AX54" s="8">
        <f t="shared" si="17"/>
        <v>0</v>
      </c>
      <c r="AY54" s="8">
        <f t="shared" si="18"/>
        <v>40</v>
      </c>
      <c r="AZ54" s="8">
        <f t="shared" si="19"/>
        <v>40</v>
      </c>
      <c r="BA54" s="9"/>
      <c r="BB54" s="9"/>
      <c r="BC54" s="9"/>
      <c r="BD54" s="8">
        <f t="shared" si="20"/>
        <v>0</v>
      </c>
      <c r="BE54" s="8">
        <f t="shared" si="21"/>
        <v>40</v>
      </c>
      <c r="BF54" s="8">
        <f t="shared" si="22"/>
        <v>40</v>
      </c>
      <c r="BG54" s="9"/>
      <c r="BH54" s="9"/>
      <c r="BI54" s="9"/>
      <c r="BJ54" s="8">
        <f t="shared" si="23"/>
        <v>0</v>
      </c>
      <c r="BK54" s="8">
        <f t="shared" si="24"/>
        <v>40</v>
      </c>
      <c r="BL54" s="8">
        <f t="shared" si="25"/>
        <v>40</v>
      </c>
      <c r="BM54" s="9"/>
      <c r="BN54" s="9"/>
      <c r="BO54" s="9"/>
      <c r="BP54" s="8">
        <f t="shared" si="26"/>
        <v>0</v>
      </c>
      <c r="BQ54" s="8">
        <f t="shared" si="27"/>
        <v>40</v>
      </c>
      <c r="BR54" s="8">
        <f t="shared" si="28"/>
        <v>40</v>
      </c>
      <c r="BS54" s="9"/>
      <c r="BT54" s="9"/>
      <c r="BU54" s="9"/>
      <c r="BV54" s="8">
        <f t="shared" si="29"/>
        <v>0</v>
      </c>
      <c r="BW54" s="8">
        <f t="shared" si="30"/>
        <v>40</v>
      </c>
      <c r="BX54" s="8">
        <f t="shared" si="31"/>
        <v>40</v>
      </c>
      <c r="BY54" s="9"/>
      <c r="BZ54" s="9"/>
      <c r="CA54" s="9"/>
      <c r="CB54" s="8">
        <f t="shared" si="32"/>
        <v>0</v>
      </c>
      <c r="CC54" s="8">
        <f t="shared" si="33"/>
        <v>40</v>
      </c>
      <c r="CD54" s="8">
        <f t="shared" si="34"/>
        <v>40</v>
      </c>
      <c r="CE54" s="9"/>
      <c r="CF54" s="9"/>
      <c r="CG54" s="9"/>
      <c r="CH54" s="8">
        <f t="shared" si="35"/>
        <v>0</v>
      </c>
      <c r="CI54" s="8">
        <f t="shared" si="36"/>
        <v>40</v>
      </c>
      <c r="CJ54" s="8">
        <f t="shared" si="37"/>
        <v>40</v>
      </c>
      <c r="CK54" s="9"/>
      <c r="CL54" s="9"/>
      <c r="CM54" s="9"/>
      <c r="CN54" s="8">
        <f t="shared" si="38"/>
        <v>0</v>
      </c>
      <c r="CO54" s="8">
        <f t="shared" si="39"/>
        <v>40</v>
      </c>
      <c r="CP54" s="8">
        <f t="shared" si="40"/>
        <v>40</v>
      </c>
    </row>
    <row r="55" spans="1:94" x14ac:dyDescent="0.3">
      <c r="A55" s="6">
        <v>47</v>
      </c>
      <c r="B55" s="22" t="s">
        <v>311</v>
      </c>
      <c r="C55" s="20" t="s">
        <v>214</v>
      </c>
      <c r="D55" s="24" t="s">
        <v>362</v>
      </c>
      <c r="E55" s="16" t="s">
        <v>136</v>
      </c>
      <c r="F55" s="12" t="s">
        <v>367</v>
      </c>
      <c r="G55" s="12" t="s">
        <v>83</v>
      </c>
      <c r="H55" s="7" t="s">
        <v>70</v>
      </c>
      <c r="I55" s="8">
        <v>8</v>
      </c>
      <c r="J55" s="8">
        <v>8</v>
      </c>
      <c r="K55" s="9"/>
      <c r="L55" s="9"/>
      <c r="M55" s="9"/>
      <c r="N55" s="8">
        <f t="shared" si="0"/>
        <v>0</v>
      </c>
      <c r="O55" s="8">
        <f t="shared" si="96"/>
        <v>8</v>
      </c>
      <c r="P55" s="8">
        <f t="shared" si="1"/>
        <v>8</v>
      </c>
      <c r="Q55" s="9"/>
      <c r="R55" s="9"/>
      <c r="S55" s="9"/>
      <c r="T55" s="8">
        <f t="shared" si="2"/>
        <v>0</v>
      </c>
      <c r="U55" s="8">
        <f t="shared" si="3"/>
        <v>8</v>
      </c>
      <c r="V55" s="8">
        <f t="shared" si="4"/>
        <v>8</v>
      </c>
      <c r="W55" s="29"/>
      <c r="X55" s="29"/>
      <c r="Y55" s="29"/>
      <c r="Z55" s="8">
        <f t="shared" si="5"/>
        <v>0</v>
      </c>
      <c r="AA55" s="8">
        <f t="shared" si="6"/>
        <v>8</v>
      </c>
      <c r="AB55" s="8">
        <f t="shared" si="7"/>
        <v>8</v>
      </c>
      <c r="AC55" s="29"/>
      <c r="AD55" s="29"/>
      <c r="AE55" s="29"/>
      <c r="AF55" s="8">
        <f t="shared" si="8"/>
        <v>0</v>
      </c>
      <c r="AG55" s="8">
        <f t="shared" si="9"/>
        <v>8</v>
      </c>
      <c r="AH55" s="8">
        <f t="shared" si="10"/>
        <v>8</v>
      </c>
      <c r="AI55" s="29"/>
      <c r="AJ55" s="29"/>
      <c r="AK55" s="29"/>
      <c r="AL55" s="8">
        <f t="shared" si="11"/>
        <v>0</v>
      </c>
      <c r="AM55" s="8">
        <f t="shared" si="12"/>
        <v>8</v>
      </c>
      <c r="AN55" s="8">
        <f t="shared" si="13"/>
        <v>8</v>
      </c>
      <c r="AO55" s="9"/>
      <c r="AP55" s="9"/>
      <c r="AQ55" s="9"/>
      <c r="AR55" s="8">
        <f t="shared" si="14"/>
        <v>0</v>
      </c>
      <c r="AS55" s="8">
        <f t="shared" si="15"/>
        <v>8</v>
      </c>
      <c r="AT55" s="8">
        <f t="shared" si="16"/>
        <v>8</v>
      </c>
      <c r="AU55" s="9"/>
      <c r="AV55" s="9"/>
      <c r="AW55" s="9"/>
      <c r="AX55" s="8">
        <f t="shared" si="17"/>
        <v>0</v>
      </c>
      <c r="AY55" s="8">
        <f t="shared" si="18"/>
        <v>8</v>
      </c>
      <c r="AZ55" s="8">
        <f t="shared" si="19"/>
        <v>8</v>
      </c>
      <c r="BA55" s="9"/>
      <c r="BB55" s="9"/>
      <c r="BC55" s="9"/>
      <c r="BD55" s="8">
        <f t="shared" si="20"/>
        <v>0</v>
      </c>
      <c r="BE55" s="8">
        <f t="shared" si="21"/>
        <v>8</v>
      </c>
      <c r="BF55" s="8">
        <f t="shared" si="22"/>
        <v>8</v>
      </c>
      <c r="BG55" s="9"/>
      <c r="BH55" s="9"/>
      <c r="BI55" s="9"/>
      <c r="BJ55" s="8">
        <f t="shared" si="23"/>
        <v>0</v>
      </c>
      <c r="BK55" s="8">
        <f t="shared" si="24"/>
        <v>8</v>
      </c>
      <c r="BL55" s="8">
        <f t="shared" si="25"/>
        <v>8</v>
      </c>
      <c r="BM55" s="9"/>
      <c r="BN55" s="9"/>
      <c r="BO55" s="9"/>
      <c r="BP55" s="8">
        <f t="shared" si="26"/>
        <v>0</v>
      </c>
      <c r="BQ55" s="8">
        <f t="shared" si="27"/>
        <v>8</v>
      </c>
      <c r="BR55" s="8">
        <f t="shared" si="28"/>
        <v>8</v>
      </c>
      <c r="BS55" s="9"/>
      <c r="BT55" s="9"/>
      <c r="BU55" s="9"/>
      <c r="BV55" s="8">
        <f t="shared" si="29"/>
        <v>0</v>
      </c>
      <c r="BW55" s="8">
        <f t="shared" si="30"/>
        <v>8</v>
      </c>
      <c r="BX55" s="8">
        <f t="shared" si="31"/>
        <v>8</v>
      </c>
      <c r="BY55" s="9"/>
      <c r="BZ55" s="9"/>
      <c r="CA55" s="9"/>
      <c r="CB55" s="8">
        <f t="shared" si="32"/>
        <v>0</v>
      </c>
      <c r="CC55" s="8">
        <f t="shared" si="33"/>
        <v>8</v>
      </c>
      <c r="CD55" s="8">
        <f t="shared" si="34"/>
        <v>8</v>
      </c>
      <c r="CE55" s="9"/>
      <c r="CF55" s="9"/>
      <c r="CG55" s="9"/>
      <c r="CH55" s="8">
        <f t="shared" si="35"/>
        <v>0</v>
      </c>
      <c r="CI55" s="8">
        <f t="shared" si="36"/>
        <v>8</v>
      </c>
      <c r="CJ55" s="8">
        <f t="shared" si="37"/>
        <v>8</v>
      </c>
      <c r="CK55" s="9"/>
      <c r="CL55" s="9"/>
      <c r="CM55" s="9"/>
      <c r="CN55" s="8">
        <f t="shared" si="38"/>
        <v>0</v>
      </c>
      <c r="CO55" s="8">
        <f t="shared" si="39"/>
        <v>8</v>
      </c>
      <c r="CP55" s="8">
        <f t="shared" si="40"/>
        <v>8</v>
      </c>
    </row>
    <row r="56" spans="1:94" x14ac:dyDescent="0.3">
      <c r="A56" s="6">
        <v>48</v>
      </c>
      <c r="B56" s="22" t="s">
        <v>312</v>
      </c>
      <c r="C56" s="20" t="s">
        <v>215</v>
      </c>
      <c r="D56" s="24" t="s">
        <v>362</v>
      </c>
      <c r="E56" s="16" t="s">
        <v>137</v>
      </c>
      <c r="F56" s="12" t="s">
        <v>371</v>
      </c>
      <c r="G56" s="12" t="s">
        <v>367</v>
      </c>
      <c r="H56" s="7" t="s">
        <v>70</v>
      </c>
      <c r="I56" s="8">
        <v>10</v>
      </c>
      <c r="J56" s="8">
        <v>10</v>
      </c>
      <c r="K56" s="9"/>
      <c r="L56" s="9"/>
      <c r="M56" s="9"/>
      <c r="N56" s="8">
        <f t="shared" si="0"/>
        <v>0</v>
      </c>
      <c r="O56" s="8">
        <f t="shared" si="96"/>
        <v>10</v>
      </c>
      <c r="P56" s="8">
        <f t="shared" si="1"/>
        <v>10</v>
      </c>
      <c r="Q56" s="9"/>
      <c r="R56" s="9"/>
      <c r="S56" s="9"/>
      <c r="T56" s="8">
        <f t="shared" si="2"/>
        <v>0</v>
      </c>
      <c r="U56" s="8">
        <f t="shared" si="3"/>
        <v>10</v>
      </c>
      <c r="V56" s="8">
        <f t="shared" si="4"/>
        <v>10</v>
      </c>
      <c r="W56" s="29"/>
      <c r="X56" s="29"/>
      <c r="Y56" s="29"/>
      <c r="Z56" s="8">
        <f t="shared" si="5"/>
        <v>0</v>
      </c>
      <c r="AA56" s="8">
        <f t="shared" si="6"/>
        <v>10</v>
      </c>
      <c r="AB56" s="8">
        <f t="shared" si="7"/>
        <v>10</v>
      </c>
      <c r="AC56" s="29"/>
      <c r="AD56" s="29"/>
      <c r="AE56" s="29"/>
      <c r="AF56" s="8">
        <f t="shared" si="8"/>
        <v>0</v>
      </c>
      <c r="AG56" s="8">
        <f t="shared" si="9"/>
        <v>10</v>
      </c>
      <c r="AH56" s="8">
        <f t="shared" si="10"/>
        <v>10</v>
      </c>
      <c r="AI56" s="29"/>
      <c r="AJ56" s="29"/>
      <c r="AK56" s="29"/>
      <c r="AL56" s="8">
        <f t="shared" si="11"/>
        <v>0</v>
      </c>
      <c r="AM56" s="8">
        <f t="shared" si="12"/>
        <v>10</v>
      </c>
      <c r="AN56" s="8">
        <f t="shared" si="13"/>
        <v>10</v>
      </c>
      <c r="AO56" s="9"/>
      <c r="AP56" s="9"/>
      <c r="AQ56" s="9"/>
      <c r="AR56" s="8">
        <f t="shared" si="14"/>
        <v>0</v>
      </c>
      <c r="AS56" s="8">
        <f t="shared" si="15"/>
        <v>10</v>
      </c>
      <c r="AT56" s="8">
        <f t="shared" si="16"/>
        <v>10</v>
      </c>
      <c r="AU56" s="9"/>
      <c r="AV56" s="9"/>
      <c r="AW56" s="9"/>
      <c r="AX56" s="8">
        <f t="shared" si="17"/>
        <v>0</v>
      </c>
      <c r="AY56" s="8">
        <f t="shared" si="18"/>
        <v>10</v>
      </c>
      <c r="AZ56" s="8">
        <f t="shared" si="19"/>
        <v>10</v>
      </c>
      <c r="BA56" s="9"/>
      <c r="BB56" s="9"/>
      <c r="BC56" s="9"/>
      <c r="BD56" s="8">
        <f t="shared" si="20"/>
        <v>0</v>
      </c>
      <c r="BE56" s="8">
        <f t="shared" si="21"/>
        <v>10</v>
      </c>
      <c r="BF56" s="8">
        <f t="shared" si="22"/>
        <v>10</v>
      </c>
      <c r="BG56" s="9"/>
      <c r="BH56" s="9"/>
      <c r="BI56" s="9"/>
      <c r="BJ56" s="8">
        <f t="shared" si="23"/>
        <v>0</v>
      </c>
      <c r="BK56" s="8">
        <f t="shared" si="24"/>
        <v>10</v>
      </c>
      <c r="BL56" s="8">
        <f t="shared" si="25"/>
        <v>10</v>
      </c>
      <c r="BM56" s="9"/>
      <c r="BN56" s="9"/>
      <c r="BO56" s="9"/>
      <c r="BP56" s="8">
        <f t="shared" si="26"/>
        <v>0</v>
      </c>
      <c r="BQ56" s="8">
        <f t="shared" si="27"/>
        <v>10</v>
      </c>
      <c r="BR56" s="8">
        <f t="shared" si="28"/>
        <v>10</v>
      </c>
      <c r="BS56" s="9"/>
      <c r="BT56" s="9"/>
      <c r="BU56" s="9"/>
      <c r="BV56" s="8">
        <f t="shared" si="29"/>
        <v>0</v>
      </c>
      <c r="BW56" s="8">
        <f t="shared" si="30"/>
        <v>10</v>
      </c>
      <c r="BX56" s="8">
        <f t="shared" si="31"/>
        <v>10</v>
      </c>
      <c r="BY56" s="9"/>
      <c r="BZ56" s="9"/>
      <c r="CA56" s="9"/>
      <c r="CB56" s="8">
        <f t="shared" si="32"/>
        <v>0</v>
      </c>
      <c r="CC56" s="8">
        <f t="shared" si="33"/>
        <v>10</v>
      </c>
      <c r="CD56" s="8">
        <f t="shared" si="34"/>
        <v>10</v>
      </c>
      <c r="CE56" s="9"/>
      <c r="CF56" s="9"/>
      <c r="CG56" s="9"/>
      <c r="CH56" s="8">
        <f t="shared" si="35"/>
        <v>0</v>
      </c>
      <c r="CI56" s="8">
        <f t="shared" si="36"/>
        <v>10</v>
      </c>
      <c r="CJ56" s="8">
        <f t="shared" si="37"/>
        <v>10</v>
      </c>
      <c r="CK56" s="9"/>
      <c r="CL56" s="9"/>
      <c r="CM56" s="9"/>
      <c r="CN56" s="8">
        <f t="shared" si="38"/>
        <v>0</v>
      </c>
      <c r="CO56" s="8">
        <f t="shared" si="39"/>
        <v>10</v>
      </c>
      <c r="CP56" s="8">
        <f t="shared" si="40"/>
        <v>10</v>
      </c>
    </row>
    <row r="57" spans="1:94" x14ac:dyDescent="0.3">
      <c r="A57" s="6">
        <v>49</v>
      </c>
      <c r="B57" s="22" t="s">
        <v>313</v>
      </c>
      <c r="C57" s="20" t="s">
        <v>216</v>
      </c>
      <c r="D57" s="24" t="s">
        <v>362</v>
      </c>
      <c r="E57" s="16" t="s">
        <v>138</v>
      </c>
      <c r="F57" s="12" t="s">
        <v>371</v>
      </c>
      <c r="G57" s="12" t="s">
        <v>367</v>
      </c>
      <c r="H57" s="7" t="s">
        <v>70</v>
      </c>
      <c r="I57" s="8">
        <v>10</v>
      </c>
      <c r="J57" s="8">
        <v>10</v>
      </c>
      <c r="K57" s="9"/>
      <c r="L57" s="9"/>
      <c r="M57" s="9"/>
      <c r="N57" s="8">
        <f t="shared" si="0"/>
        <v>0</v>
      </c>
      <c r="O57" s="8">
        <f t="shared" si="96"/>
        <v>10</v>
      </c>
      <c r="P57" s="8">
        <f t="shared" si="1"/>
        <v>10</v>
      </c>
      <c r="Q57" s="9"/>
      <c r="R57" s="9"/>
      <c r="S57" s="9"/>
      <c r="T57" s="8">
        <f t="shared" si="2"/>
        <v>0</v>
      </c>
      <c r="U57" s="8">
        <f t="shared" si="3"/>
        <v>10</v>
      </c>
      <c r="V57" s="8">
        <f t="shared" si="4"/>
        <v>10</v>
      </c>
      <c r="W57" s="29"/>
      <c r="X57" s="29"/>
      <c r="Y57" s="29"/>
      <c r="Z57" s="8">
        <f t="shared" si="5"/>
        <v>0</v>
      </c>
      <c r="AA57" s="8">
        <f t="shared" si="6"/>
        <v>10</v>
      </c>
      <c r="AB57" s="8">
        <f t="shared" si="7"/>
        <v>10</v>
      </c>
      <c r="AC57" s="29"/>
      <c r="AD57" s="29"/>
      <c r="AE57" s="29"/>
      <c r="AF57" s="8">
        <f t="shared" si="8"/>
        <v>0</v>
      </c>
      <c r="AG57" s="8">
        <f t="shared" si="9"/>
        <v>10</v>
      </c>
      <c r="AH57" s="8">
        <f t="shared" si="10"/>
        <v>10</v>
      </c>
      <c r="AI57" s="29"/>
      <c r="AJ57" s="29"/>
      <c r="AK57" s="29"/>
      <c r="AL57" s="8">
        <f t="shared" si="11"/>
        <v>0</v>
      </c>
      <c r="AM57" s="8">
        <f t="shared" si="12"/>
        <v>10</v>
      </c>
      <c r="AN57" s="8">
        <f t="shared" si="13"/>
        <v>10</v>
      </c>
      <c r="AO57" s="9"/>
      <c r="AP57" s="9"/>
      <c r="AQ57" s="9"/>
      <c r="AR57" s="8">
        <f t="shared" si="14"/>
        <v>0</v>
      </c>
      <c r="AS57" s="8">
        <f t="shared" si="15"/>
        <v>10</v>
      </c>
      <c r="AT57" s="8">
        <f t="shared" si="16"/>
        <v>10</v>
      </c>
      <c r="AU57" s="9"/>
      <c r="AV57" s="9"/>
      <c r="AW57" s="9"/>
      <c r="AX57" s="8">
        <f t="shared" si="17"/>
        <v>0</v>
      </c>
      <c r="AY57" s="8">
        <f t="shared" si="18"/>
        <v>10</v>
      </c>
      <c r="AZ57" s="8">
        <f t="shared" si="19"/>
        <v>10</v>
      </c>
      <c r="BA57" s="9"/>
      <c r="BB57" s="9"/>
      <c r="BC57" s="9"/>
      <c r="BD57" s="8">
        <f t="shared" si="20"/>
        <v>0</v>
      </c>
      <c r="BE57" s="8">
        <f t="shared" si="21"/>
        <v>10</v>
      </c>
      <c r="BF57" s="8">
        <f t="shared" si="22"/>
        <v>10</v>
      </c>
      <c r="BG57" s="9"/>
      <c r="BH57" s="9"/>
      <c r="BI57" s="9"/>
      <c r="BJ57" s="8">
        <f t="shared" si="23"/>
        <v>0</v>
      </c>
      <c r="BK57" s="8">
        <f t="shared" si="24"/>
        <v>10</v>
      </c>
      <c r="BL57" s="8">
        <f t="shared" si="25"/>
        <v>10</v>
      </c>
      <c r="BM57" s="9"/>
      <c r="BN57" s="9"/>
      <c r="BO57" s="9"/>
      <c r="BP57" s="8">
        <f t="shared" si="26"/>
        <v>0</v>
      </c>
      <c r="BQ57" s="8">
        <f t="shared" si="27"/>
        <v>10</v>
      </c>
      <c r="BR57" s="8">
        <f t="shared" si="28"/>
        <v>10</v>
      </c>
      <c r="BS57" s="9"/>
      <c r="BT57" s="9"/>
      <c r="BU57" s="9"/>
      <c r="BV57" s="8">
        <f t="shared" si="29"/>
        <v>0</v>
      </c>
      <c r="BW57" s="8">
        <f t="shared" si="30"/>
        <v>10</v>
      </c>
      <c r="BX57" s="8">
        <f t="shared" si="31"/>
        <v>10</v>
      </c>
      <c r="BY57" s="9"/>
      <c r="BZ57" s="9"/>
      <c r="CA57" s="9"/>
      <c r="CB57" s="8">
        <f t="shared" si="32"/>
        <v>0</v>
      </c>
      <c r="CC57" s="8">
        <f t="shared" si="33"/>
        <v>10</v>
      </c>
      <c r="CD57" s="8">
        <f t="shared" si="34"/>
        <v>10</v>
      </c>
      <c r="CE57" s="9"/>
      <c r="CF57" s="9"/>
      <c r="CG57" s="9"/>
      <c r="CH57" s="8">
        <f t="shared" si="35"/>
        <v>0</v>
      </c>
      <c r="CI57" s="8">
        <f t="shared" si="36"/>
        <v>10</v>
      </c>
      <c r="CJ57" s="8">
        <f t="shared" si="37"/>
        <v>10</v>
      </c>
      <c r="CK57" s="9"/>
      <c r="CL57" s="9"/>
      <c r="CM57" s="9"/>
      <c r="CN57" s="8">
        <f t="shared" si="38"/>
        <v>0</v>
      </c>
      <c r="CO57" s="8">
        <f t="shared" si="39"/>
        <v>10</v>
      </c>
      <c r="CP57" s="8">
        <f t="shared" si="40"/>
        <v>10</v>
      </c>
    </row>
    <row r="58" spans="1:94" x14ac:dyDescent="0.3">
      <c r="A58" s="6">
        <v>50</v>
      </c>
      <c r="B58" s="22" t="s">
        <v>314</v>
      </c>
      <c r="C58" s="20" t="s">
        <v>217</v>
      </c>
      <c r="D58" s="24" t="s">
        <v>362</v>
      </c>
      <c r="E58" s="16" t="s">
        <v>139</v>
      </c>
      <c r="F58" s="12" t="s">
        <v>371</v>
      </c>
      <c r="G58" s="12" t="s">
        <v>373</v>
      </c>
      <c r="H58" s="7" t="s">
        <v>70</v>
      </c>
      <c r="I58" s="8">
        <v>10</v>
      </c>
      <c r="J58" s="8">
        <v>10</v>
      </c>
      <c r="K58" s="9"/>
      <c r="L58" s="9"/>
      <c r="M58" s="9"/>
      <c r="N58" s="8">
        <f t="shared" si="0"/>
        <v>0</v>
      </c>
      <c r="O58" s="8">
        <f t="shared" si="96"/>
        <v>10</v>
      </c>
      <c r="P58" s="8">
        <f t="shared" si="1"/>
        <v>10</v>
      </c>
      <c r="Q58" s="9"/>
      <c r="R58" s="9"/>
      <c r="S58" s="9"/>
      <c r="T58" s="8">
        <f t="shared" si="2"/>
        <v>0</v>
      </c>
      <c r="U58" s="8">
        <f t="shared" si="3"/>
        <v>10</v>
      </c>
      <c r="V58" s="8">
        <f t="shared" si="4"/>
        <v>10</v>
      </c>
      <c r="W58" s="29"/>
      <c r="X58" s="29"/>
      <c r="Y58" s="29"/>
      <c r="Z58" s="8">
        <f t="shared" si="5"/>
        <v>0</v>
      </c>
      <c r="AA58" s="8">
        <f t="shared" si="6"/>
        <v>10</v>
      </c>
      <c r="AB58" s="8">
        <f t="shared" si="7"/>
        <v>10</v>
      </c>
      <c r="AC58" s="29"/>
      <c r="AD58" s="29"/>
      <c r="AE58" s="29"/>
      <c r="AF58" s="8">
        <f t="shared" si="8"/>
        <v>0</v>
      </c>
      <c r="AG58" s="8">
        <f t="shared" si="9"/>
        <v>10</v>
      </c>
      <c r="AH58" s="8">
        <f t="shared" si="10"/>
        <v>10</v>
      </c>
      <c r="AI58" s="29"/>
      <c r="AJ58" s="29"/>
      <c r="AK58" s="29"/>
      <c r="AL58" s="8">
        <f t="shared" si="11"/>
        <v>0</v>
      </c>
      <c r="AM58" s="8">
        <f t="shared" si="12"/>
        <v>10</v>
      </c>
      <c r="AN58" s="8">
        <f t="shared" si="13"/>
        <v>10</v>
      </c>
      <c r="AO58" s="9"/>
      <c r="AP58" s="9"/>
      <c r="AQ58" s="9"/>
      <c r="AR58" s="8">
        <f t="shared" si="14"/>
        <v>0</v>
      </c>
      <c r="AS58" s="8">
        <f t="shared" si="15"/>
        <v>10</v>
      </c>
      <c r="AT58" s="8">
        <f t="shared" si="16"/>
        <v>10</v>
      </c>
      <c r="AU58" s="9"/>
      <c r="AV58" s="9"/>
      <c r="AW58" s="9"/>
      <c r="AX58" s="8">
        <f t="shared" si="17"/>
        <v>0</v>
      </c>
      <c r="AY58" s="8">
        <f t="shared" si="18"/>
        <v>10</v>
      </c>
      <c r="AZ58" s="8">
        <f t="shared" si="19"/>
        <v>10</v>
      </c>
      <c r="BA58" s="9"/>
      <c r="BB58" s="9"/>
      <c r="BC58" s="9"/>
      <c r="BD58" s="8">
        <f t="shared" si="20"/>
        <v>0</v>
      </c>
      <c r="BE58" s="8">
        <f t="shared" si="21"/>
        <v>10</v>
      </c>
      <c r="BF58" s="8">
        <f t="shared" si="22"/>
        <v>10</v>
      </c>
      <c r="BG58" s="9"/>
      <c r="BH58" s="9"/>
      <c r="BI58" s="9"/>
      <c r="BJ58" s="8">
        <f t="shared" si="23"/>
        <v>0</v>
      </c>
      <c r="BK58" s="8">
        <f t="shared" si="24"/>
        <v>10</v>
      </c>
      <c r="BL58" s="8">
        <f t="shared" si="25"/>
        <v>10</v>
      </c>
      <c r="BM58" s="9"/>
      <c r="BN58" s="9"/>
      <c r="BO58" s="9"/>
      <c r="BP58" s="8">
        <f t="shared" si="26"/>
        <v>0</v>
      </c>
      <c r="BQ58" s="8">
        <f t="shared" si="27"/>
        <v>10</v>
      </c>
      <c r="BR58" s="8">
        <f t="shared" si="28"/>
        <v>10</v>
      </c>
      <c r="BS58" s="9"/>
      <c r="BT58" s="9"/>
      <c r="BU58" s="9"/>
      <c r="BV58" s="8">
        <f t="shared" si="29"/>
        <v>0</v>
      </c>
      <c r="BW58" s="8">
        <f t="shared" si="30"/>
        <v>10</v>
      </c>
      <c r="BX58" s="8">
        <f t="shared" si="31"/>
        <v>10</v>
      </c>
      <c r="BY58" s="9"/>
      <c r="BZ58" s="9"/>
      <c r="CA58" s="9"/>
      <c r="CB58" s="8">
        <f t="shared" si="32"/>
        <v>0</v>
      </c>
      <c r="CC58" s="8">
        <f t="shared" si="33"/>
        <v>10</v>
      </c>
      <c r="CD58" s="8">
        <f t="shared" si="34"/>
        <v>10</v>
      </c>
      <c r="CE58" s="9"/>
      <c r="CF58" s="9"/>
      <c r="CG58" s="9"/>
      <c r="CH58" s="8">
        <f t="shared" si="35"/>
        <v>0</v>
      </c>
      <c r="CI58" s="8">
        <f t="shared" si="36"/>
        <v>10</v>
      </c>
      <c r="CJ58" s="8">
        <f t="shared" si="37"/>
        <v>10</v>
      </c>
      <c r="CK58" s="9"/>
      <c r="CL58" s="9"/>
      <c r="CM58" s="9"/>
      <c r="CN58" s="8">
        <f t="shared" si="38"/>
        <v>0</v>
      </c>
      <c r="CO58" s="8">
        <f t="shared" si="39"/>
        <v>10</v>
      </c>
      <c r="CP58" s="8">
        <f t="shared" si="40"/>
        <v>10</v>
      </c>
    </row>
    <row r="59" spans="1:94" x14ac:dyDescent="0.3">
      <c r="A59" s="6">
        <v>51</v>
      </c>
      <c r="B59" s="22" t="s">
        <v>315</v>
      </c>
      <c r="C59" s="20" t="s">
        <v>218</v>
      </c>
      <c r="D59" s="24" t="s">
        <v>362</v>
      </c>
      <c r="E59" s="16" t="s">
        <v>140</v>
      </c>
      <c r="F59" s="12" t="s">
        <v>371</v>
      </c>
      <c r="G59" s="12" t="s">
        <v>367</v>
      </c>
      <c r="H59" s="7" t="s">
        <v>70</v>
      </c>
      <c r="I59" s="8">
        <v>10</v>
      </c>
      <c r="J59" s="8">
        <v>10</v>
      </c>
      <c r="K59" s="9"/>
      <c r="L59" s="9"/>
      <c r="M59" s="9"/>
      <c r="N59" s="8">
        <f t="shared" si="0"/>
        <v>0</v>
      </c>
      <c r="O59" s="8">
        <f t="shared" si="96"/>
        <v>10</v>
      </c>
      <c r="P59" s="8">
        <f t="shared" si="1"/>
        <v>10</v>
      </c>
      <c r="Q59" s="9"/>
      <c r="R59" s="9"/>
      <c r="S59" s="9"/>
      <c r="T59" s="8">
        <f t="shared" si="2"/>
        <v>0</v>
      </c>
      <c r="U59" s="8">
        <f t="shared" si="3"/>
        <v>10</v>
      </c>
      <c r="V59" s="8">
        <f t="shared" si="4"/>
        <v>10</v>
      </c>
      <c r="W59" s="29"/>
      <c r="X59" s="29"/>
      <c r="Y59" s="29"/>
      <c r="Z59" s="8">
        <f t="shared" si="5"/>
        <v>0</v>
      </c>
      <c r="AA59" s="8">
        <f t="shared" si="6"/>
        <v>10</v>
      </c>
      <c r="AB59" s="8">
        <f t="shared" si="7"/>
        <v>10</v>
      </c>
      <c r="AC59" s="29"/>
      <c r="AD59" s="29"/>
      <c r="AE59" s="29"/>
      <c r="AF59" s="8">
        <f t="shared" si="8"/>
        <v>0</v>
      </c>
      <c r="AG59" s="8">
        <f t="shared" si="9"/>
        <v>10</v>
      </c>
      <c r="AH59" s="8">
        <f t="shared" si="10"/>
        <v>10</v>
      </c>
      <c r="AI59" s="29"/>
      <c r="AJ59" s="29"/>
      <c r="AK59" s="29"/>
      <c r="AL59" s="8">
        <f t="shared" si="11"/>
        <v>0</v>
      </c>
      <c r="AM59" s="8">
        <f t="shared" si="12"/>
        <v>10</v>
      </c>
      <c r="AN59" s="8">
        <f t="shared" si="13"/>
        <v>10</v>
      </c>
      <c r="AO59" s="9"/>
      <c r="AP59" s="9"/>
      <c r="AQ59" s="9"/>
      <c r="AR59" s="8">
        <f t="shared" si="14"/>
        <v>0</v>
      </c>
      <c r="AS59" s="8">
        <f t="shared" si="15"/>
        <v>10</v>
      </c>
      <c r="AT59" s="8">
        <f t="shared" si="16"/>
        <v>10</v>
      </c>
      <c r="AU59" s="9"/>
      <c r="AV59" s="9"/>
      <c r="AW59" s="9"/>
      <c r="AX59" s="8">
        <f t="shared" si="17"/>
        <v>0</v>
      </c>
      <c r="AY59" s="8">
        <f t="shared" si="18"/>
        <v>10</v>
      </c>
      <c r="AZ59" s="8">
        <f t="shared" si="19"/>
        <v>10</v>
      </c>
      <c r="BA59" s="9"/>
      <c r="BB59" s="9"/>
      <c r="BC59" s="9"/>
      <c r="BD59" s="8">
        <f t="shared" si="20"/>
        <v>0</v>
      </c>
      <c r="BE59" s="8">
        <f t="shared" si="21"/>
        <v>10</v>
      </c>
      <c r="BF59" s="8">
        <f t="shared" si="22"/>
        <v>10</v>
      </c>
      <c r="BG59" s="9"/>
      <c r="BH59" s="9"/>
      <c r="BI59" s="9"/>
      <c r="BJ59" s="8">
        <f t="shared" si="23"/>
        <v>0</v>
      </c>
      <c r="BK59" s="8">
        <f t="shared" si="24"/>
        <v>10</v>
      </c>
      <c r="BL59" s="8">
        <f t="shared" si="25"/>
        <v>10</v>
      </c>
      <c r="BM59" s="9"/>
      <c r="BN59" s="9"/>
      <c r="BO59" s="9"/>
      <c r="BP59" s="8">
        <f t="shared" si="26"/>
        <v>0</v>
      </c>
      <c r="BQ59" s="8">
        <f t="shared" si="27"/>
        <v>10</v>
      </c>
      <c r="BR59" s="8">
        <f t="shared" si="28"/>
        <v>10</v>
      </c>
      <c r="BS59" s="9"/>
      <c r="BT59" s="9"/>
      <c r="BU59" s="9"/>
      <c r="BV59" s="8">
        <f t="shared" si="29"/>
        <v>0</v>
      </c>
      <c r="BW59" s="8">
        <f t="shared" si="30"/>
        <v>10</v>
      </c>
      <c r="BX59" s="8">
        <f t="shared" si="31"/>
        <v>10</v>
      </c>
      <c r="BY59" s="9"/>
      <c r="BZ59" s="9"/>
      <c r="CA59" s="9"/>
      <c r="CB59" s="8">
        <f t="shared" si="32"/>
        <v>0</v>
      </c>
      <c r="CC59" s="8">
        <f t="shared" si="33"/>
        <v>10</v>
      </c>
      <c r="CD59" s="8">
        <f t="shared" si="34"/>
        <v>10</v>
      </c>
      <c r="CE59" s="9"/>
      <c r="CF59" s="9"/>
      <c r="CG59" s="9"/>
      <c r="CH59" s="8">
        <f t="shared" si="35"/>
        <v>0</v>
      </c>
      <c r="CI59" s="8">
        <f t="shared" si="36"/>
        <v>10</v>
      </c>
      <c r="CJ59" s="8">
        <f t="shared" si="37"/>
        <v>10</v>
      </c>
      <c r="CK59" s="9"/>
      <c r="CL59" s="9"/>
      <c r="CM59" s="9"/>
      <c r="CN59" s="8">
        <f t="shared" si="38"/>
        <v>0</v>
      </c>
      <c r="CO59" s="8">
        <f t="shared" si="39"/>
        <v>10</v>
      </c>
      <c r="CP59" s="8">
        <f t="shared" si="40"/>
        <v>10</v>
      </c>
    </row>
    <row r="60" spans="1:94" x14ac:dyDescent="0.3">
      <c r="A60" s="6">
        <v>52</v>
      </c>
      <c r="B60" s="22" t="s">
        <v>316</v>
      </c>
      <c r="C60" s="20" t="s">
        <v>219</v>
      </c>
      <c r="D60" s="24" t="s">
        <v>362</v>
      </c>
      <c r="E60" s="16" t="s">
        <v>141</v>
      </c>
      <c r="F60" s="12" t="s">
        <v>371</v>
      </c>
      <c r="G60" s="12" t="s">
        <v>367</v>
      </c>
      <c r="H60" s="7" t="s">
        <v>70</v>
      </c>
      <c r="I60" s="8">
        <v>9.8109999999999999</v>
      </c>
      <c r="J60" s="8">
        <v>9.8109999999999999</v>
      </c>
      <c r="K60" s="9"/>
      <c r="L60" s="9"/>
      <c r="M60" s="9"/>
      <c r="N60" s="8">
        <f t="shared" si="0"/>
        <v>0</v>
      </c>
      <c r="O60" s="8">
        <f t="shared" si="96"/>
        <v>9.8109999999999999</v>
      </c>
      <c r="P60" s="8">
        <f t="shared" si="1"/>
        <v>9.8109999999999999</v>
      </c>
      <c r="Q60" s="9"/>
      <c r="R60" s="9"/>
      <c r="S60" s="9"/>
      <c r="T60" s="8">
        <f t="shared" si="2"/>
        <v>0</v>
      </c>
      <c r="U60" s="8">
        <f t="shared" si="3"/>
        <v>9.8109999999999999</v>
      </c>
      <c r="V60" s="8">
        <f t="shared" si="4"/>
        <v>9.8109999999999999</v>
      </c>
      <c r="W60" s="29"/>
      <c r="X60" s="29">
        <v>0</v>
      </c>
      <c r="Y60" s="29">
        <v>0</v>
      </c>
      <c r="Z60" s="8">
        <f t="shared" si="5"/>
        <v>0</v>
      </c>
      <c r="AA60" s="8">
        <f t="shared" si="6"/>
        <v>9.8109999999999999</v>
      </c>
      <c r="AB60" s="8">
        <f t="shared" si="7"/>
        <v>9.8109999999999999</v>
      </c>
      <c r="AC60" s="29"/>
      <c r="AD60" s="29"/>
      <c r="AE60" s="29"/>
      <c r="AF60" s="8">
        <f t="shared" si="8"/>
        <v>0</v>
      </c>
      <c r="AG60" s="8">
        <f t="shared" si="9"/>
        <v>9.8109999999999999</v>
      </c>
      <c r="AH60" s="8">
        <f t="shared" si="10"/>
        <v>9.8109999999999999</v>
      </c>
      <c r="AI60" s="29"/>
      <c r="AJ60" s="29"/>
      <c r="AK60" s="29"/>
      <c r="AL60" s="8">
        <f t="shared" si="11"/>
        <v>0</v>
      </c>
      <c r="AM60" s="8">
        <f t="shared" si="12"/>
        <v>9.8109999999999999</v>
      </c>
      <c r="AN60" s="8">
        <f t="shared" si="13"/>
        <v>9.8109999999999999</v>
      </c>
      <c r="AO60" s="9"/>
      <c r="AP60" s="9"/>
      <c r="AQ60" s="9"/>
      <c r="AR60" s="8">
        <f t="shared" si="14"/>
        <v>0</v>
      </c>
      <c r="AS60" s="8">
        <f t="shared" si="15"/>
        <v>9.8109999999999999</v>
      </c>
      <c r="AT60" s="8">
        <f t="shared" si="16"/>
        <v>9.8109999999999999</v>
      </c>
      <c r="AU60" s="9"/>
      <c r="AV60" s="9"/>
      <c r="AW60" s="9"/>
      <c r="AX60" s="8">
        <f t="shared" si="17"/>
        <v>0</v>
      </c>
      <c r="AY60" s="8">
        <f t="shared" si="18"/>
        <v>9.8109999999999999</v>
      </c>
      <c r="AZ60" s="8">
        <f t="shared" si="19"/>
        <v>9.8109999999999999</v>
      </c>
      <c r="BA60" s="9"/>
      <c r="BB60" s="9"/>
      <c r="BC60" s="9"/>
      <c r="BD60" s="8">
        <f t="shared" si="20"/>
        <v>0</v>
      </c>
      <c r="BE60" s="8">
        <f t="shared" si="21"/>
        <v>9.8109999999999999</v>
      </c>
      <c r="BF60" s="8">
        <f t="shared" si="22"/>
        <v>9.8109999999999999</v>
      </c>
      <c r="BG60" s="9"/>
      <c r="BH60" s="9"/>
      <c r="BI60" s="9"/>
      <c r="BJ60" s="8">
        <f t="shared" si="23"/>
        <v>0</v>
      </c>
      <c r="BK60" s="8">
        <f t="shared" si="24"/>
        <v>9.8109999999999999</v>
      </c>
      <c r="BL60" s="8">
        <f t="shared" si="25"/>
        <v>9.8109999999999999</v>
      </c>
      <c r="BM60" s="9"/>
      <c r="BN60" s="9"/>
      <c r="BO60" s="9"/>
      <c r="BP60" s="8">
        <f t="shared" si="26"/>
        <v>0</v>
      </c>
      <c r="BQ60" s="8">
        <f t="shared" si="27"/>
        <v>9.8109999999999999</v>
      </c>
      <c r="BR60" s="8">
        <f t="shared" si="28"/>
        <v>9.8109999999999999</v>
      </c>
      <c r="BS60" s="9"/>
      <c r="BT60" s="9"/>
      <c r="BU60" s="9"/>
      <c r="BV60" s="8">
        <f t="shared" si="29"/>
        <v>0</v>
      </c>
      <c r="BW60" s="8">
        <f t="shared" si="30"/>
        <v>9.8109999999999999</v>
      </c>
      <c r="BX60" s="8">
        <f t="shared" si="31"/>
        <v>9.8109999999999999</v>
      </c>
      <c r="BY60" s="9"/>
      <c r="BZ60" s="9"/>
      <c r="CA60" s="9"/>
      <c r="CB60" s="8">
        <f t="shared" si="32"/>
        <v>0</v>
      </c>
      <c r="CC60" s="8">
        <f t="shared" si="33"/>
        <v>9.8109999999999999</v>
      </c>
      <c r="CD60" s="8">
        <f t="shared" si="34"/>
        <v>9.8109999999999999</v>
      </c>
      <c r="CE60" s="9"/>
      <c r="CF60" s="9"/>
      <c r="CG60" s="9"/>
      <c r="CH60" s="8">
        <f t="shared" si="35"/>
        <v>0</v>
      </c>
      <c r="CI60" s="8">
        <f t="shared" si="36"/>
        <v>9.8109999999999999</v>
      </c>
      <c r="CJ60" s="8">
        <f t="shared" si="37"/>
        <v>9.8109999999999999</v>
      </c>
      <c r="CK60" s="9"/>
      <c r="CL60" s="9"/>
      <c r="CM60" s="9"/>
      <c r="CN60" s="8">
        <f t="shared" si="38"/>
        <v>0</v>
      </c>
      <c r="CO60" s="8">
        <f t="shared" si="39"/>
        <v>9.8109999999999999</v>
      </c>
      <c r="CP60" s="8">
        <f t="shared" si="40"/>
        <v>9.8109999999999999</v>
      </c>
    </row>
    <row r="61" spans="1:94" x14ac:dyDescent="0.3">
      <c r="A61" s="6">
        <v>53</v>
      </c>
      <c r="B61" s="22" t="s">
        <v>317</v>
      </c>
      <c r="C61" s="20" t="s">
        <v>220</v>
      </c>
      <c r="D61" s="24" t="s">
        <v>362</v>
      </c>
      <c r="E61" s="17" t="s">
        <v>139</v>
      </c>
      <c r="F61" s="12" t="s">
        <v>371</v>
      </c>
      <c r="G61" s="12" t="s">
        <v>367</v>
      </c>
      <c r="H61" s="7" t="s">
        <v>70</v>
      </c>
      <c r="I61" s="8">
        <v>10</v>
      </c>
      <c r="J61" s="8">
        <v>10</v>
      </c>
      <c r="K61" s="9"/>
      <c r="L61" s="9"/>
      <c r="M61" s="9"/>
      <c r="N61" s="8">
        <f t="shared" si="0"/>
        <v>0</v>
      </c>
      <c r="O61" s="8">
        <f t="shared" si="96"/>
        <v>10</v>
      </c>
      <c r="P61" s="8">
        <f t="shared" si="1"/>
        <v>10</v>
      </c>
      <c r="Q61" s="9"/>
      <c r="R61" s="9"/>
      <c r="S61" s="9"/>
      <c r="T61" s="8">
        <f t="shared" si="2"/>
        <v>0</v>
      </c>
      <c r="U61" s="8">
        <f t="shared" si="3"/>
        <v>10</v>
      </c>
      <c r="V61" s="8">
        <f t="shared" si="4"/>
        <v>10</v>
      </c>
      <c r="W61" s="29"/>
      <c r="X61" s="29"/>
      <c r="Y61" s="29"/>
      <c r="Z61" s="8">
        <f t="shared" si="5"/>
        <v>0</v>
      </c>
      <c r="AA61" s="8">
        <f t="shared" si="6"/>
        <v>10</v>
      </c>
      <c r="AB61" s="8">
        <f t="shared" si="7"/>
        <v>10</v>
      </c>
      <c r="AC61" s="29"/>
      <c r="AD61" s="29"/>
      <c r="AE61" s="29"/>
      <c r="AF61" s="8">
        <f t="shared" si="8"/>
        <v>0</v>
      </c>
      <c r="AG61" s="8">
        <f t="shared" si="9"/>
        <v>10</v>
      </c>
      <c r="AH61" s="8">
        <f t="shared" si="10"/>
        <v>10</v>
      </c>
      <c r="AI61" s="29"/>
      <c r="AJ61" s="29"/>
      <c r="AK61" s="29"/>
      <c r="AL61" s="8">
        <f t="shared" si="11"/>
        <v>0</v>
      </c>
      <c r="AM61" s="8">
        <f t="shared" si="12"/>
        <v>10</v>
      </c>
      <c r="AN61" s="8">
        <f t="shared" si="13"/>
        <v>10</v>
      </c>
      <c r="AO61" s="9"/>
      <c r="AP61" s="9"/>
      <c r="AQ61" s="9"/>
      <c r="AR61" s="8">
        <f t="shared" si="14"/>
        <v>0</v>
      </c>
      <c r="AS61" s="8">
        <f t="shared" si="15"/>
        <v>10</v>
      </c>
      <c r="AT61" s="8">
        <f t="shared" si="16"/>
        <v>10</v>
      </c>
      <c r="AU61" s="9"/>
      <c r="AV61" s="9"/>
      <c r="AW61" s="9"/>
      <c r="AX61" s="8">
        <f t="shared" si="17"/>
        <v>0</v>
      </c>
      <c r="AY61" s="8">
        <f t="shared" si="18"/>
        <v>10</v>
      </c>
      <c r="AZ61" s="8">
        <f t="shared" si="19"/>
        <v>10</v>
      </c>
      <c r="BA61" s="9"/>
      <c r="BB61" s="9"/>
      <c r="BC61" s="9"/>
      <c r="BD61" s="8">
        <f t="shared" si="20"/>
        <v>0</v>
      </c>
      <c r="BE61" s="8">
        <f t="shared" si="21"/>
        <v>10</v>
      </c>
      <c r="BF61" s="8">
        <f t="shared" si="22"/>
        <v>10</v>
      </c>
      <c r="BG61" s="9"/>
      <c r="BH61" s="9"/>
      <c r="BI61" s="9"/>
      <c r="BJ61" s="8">
        <f t="shared" si="23"/>
        <v>0</v>
      </c>
      <c r="BK61" s="8">
        <f t="shared" si="24"/>
        <v>10</v>
      </c>
      <c r="BL61" s="8">
        <f t="shared" si="25"/>
        <v>10</v>
      </c>
      <c r="BM61" s="9"/>
      <c r="BN61" s="9"/>
      <c r="BO61" s="9"/>
      <c r="BP61" s="8">
        <f t="shared" si="26"/>
        <v>0</v>
      </c>
      <c r="BQ61" s="8">
        <f t="shared" si="27"/>
        <v>10</v>
      </c>
      <c r="BR61" s="8">
        <f t="shared" si="28"/>
        <v>10</v>
      </c>
      <c r="BS61" s="9"/>
      <c r="BT61" s="9"/>
      <c r="BU61" s="9"/>
      <c r="BV61" s="8">
        <f t="shared" si="29"/>
        <v>0</v>
      </c>
      <c r="BW61" s="8">
        <f t="shared" si="30"/>
        <v>10</v>
      </c>
      <c r="BX61" s="8">
        <f t="shared" si="31"/>
        <v>10</v>
      </c>
      <c r="BY61" s="9"/>
      <c r="BZ61" s="9"/>
      <c r="CA61" s="9"/>
      <c r="CB61" s="8">
        <f t="shared" si="32"/>
        <v>0</v>
      </c>
      <c r="CC61" s="8">
        <f t="shared" si="33"/>
        <v>10</v>
      </c>
      <c r="CD61" s="8">
        <f t="shared" si="34"/>
        <v>10</v>
      </c>
      <c r="CE61" s="9"/>
      <c r="CF61" s="9"/>
      <c r="CG61" s="9"/>
      <c r="CH61" s="8">
        <f t="shared" si="35"/>
        <v>0</v>
      </c>
      <c r="CI61" s="8">
        <f t="shared" si="36"/>
        <v>10</v>
      </c>
      <c r="CJ61" s="8">
        <f t="shared" si="37"/>
        <v>10</v>
      </c>
      <c r="CK61" s="9"/>
      <c r="CL61" s="9"/>
      <c r="CM61" s="9"/>
      <c r="CN61" s="8">
        <f t="shared" si="38"/>
        <v>0</v>
      </c>
      <c r="CO61" s="8">
        <f t="shared" si="39"/>
        <v>10</v>
      </c>
      <c r="CP61" s="8">
        <f t="shared" si="40"/>
        <v>10</v>
      </c>
    </row>
    <row r="62" spans="1:94" x14ac:dyDescent="0.3">
      <c r="A62" s="6">
        <v>54</v>
      </c>
      <c r="B62" s="22" t="s">
        <v>318</v>
      </c>
      <c r="C62" s="20" t="s">
        <v>221</v>
      </c>
      <c r="D62" s="24" t="s">
        <v>362</v>
      </c>
      <c r="E62" s="18" t="s">
        <v>142</v>
      </c>
      <c r="F62" s="12" t="s">
        <v>371</v>
      </c>
      <c r="G62" s="13" t="s">
        <v>367</v>
      </c>
      <c r="H62" s="7" t="s">
        <v>70</v>
      </c>
      <c r="I62" s="8">
        <v>7.1890000000000001</v>
      </c>
      <c r="J62" s="8">
        <v>7.1890000000000001</v>
      </c>
      <c r="K62" s="9"/>
      <c r="L62" s="9">
        <v>8.5000000000000006E-2</v>
      </c>
      <c r="M62" s="9">
        <v>0</v>
      </c>
      <c r="N62" s="8">
        <f t="shared" si="0"/>
        <v>8.5000000000000006E-2</v>
      </c>
      <c r="O62" s="8">
        <f t="shared" si="96"/>
        <v>7.1040000000000001</v>
      </c>
      <c r="P62" s="8">
        <f t="shared" si="1"/>
        <v>7.1040000000000001</v>
      </c>
      <c r="Q62" s="9"/>
      <c r="R62" s="9"/>
      <c r="S62" s="9"/>
      <c r="T62" s="8">
        <f t="shared" si="2"/>
        <v>0</v>
      </c>
      <c r="U62" s="8">
        <f t="shared" si="3"/>
        <v>7.1040000000000001</v>
      </c>
      <c r="V62" s="8">
        <f t="shared" si="4"/>
        <v>7.1040000000000001</v>
      </c>
      <c r="W62" s="29"/>
      <c r="X62" s="29">
        <v>0.01</v>
      </c>
      <c r="Y62" s="29">
        <v>0</v>
      </c>
      <c r="Z62" s="8">
        <f t="shared" si="5"/>
        <v>0.01</v>
      </c>
      <c r="AA62" s="8">
        <f t="shared" si="6"/>
        <v>7.0940000000000003</v>
      </c>
      <c r="AB62" s="8">
        <f t="shared" si="7"/>
        <v>7.0940000000000003</v>
      </c>
      <c r="AC62" s="29"/>
      <c r="AD62" s="29"/>
      <c r="AE62" s="29"/>
      <c r="AF62" s="8">
        <f t="shared" si="8"/>
        <v>0</v>
      </c>
      <c r="AG62" s="8">
        <f t="shared" si="9"/>
        <v>7.0940000000000003</v>
      </c>
      <c r="AH62" s="8">
        <f t="shared" si="10"/>
        <v>7.0940000000000003</v>
      </c>
      <c r="AI62" s="29"/>
      <c r="AJ62" s="29"/>
      <c r="AK62" s="29"/>
      <c r="AL62" s="8">
        <f t="shared" si="11"/>
        <v>0</v>
      </c>
      <c r="AM62" s="8">
        <f t="shared" si="12"/>
        <v>7.0940000000000003</v>
      </c>
      <c r="AN62" s="8">
        <f t="shared" si="13"/>
        <v>7.0940000000000003</v>
      </c>
      <c r="AO62" s="9"/>
      <c r="AP62" s="9"/>
      <c r="AQ62" s="9"/>
      <c r="AR62" s="8">
        <f t="shared" si="14"/>
        <v>0</v>
      </c>
      <c r="AS62" s="8">
        <f t="shared" si="15"/>
        <v>7.0940000000000003</v>
      </c>
      <c r="AT62" s="8">
        <f t="shared" si="16"/>
        <v>7.0940000000000003</v>
      </c>
      <c r="AU62" s="9"/>
      <c r="AV62" s="9"/>
      <c r="AW62" s="9"/>
      <c r="AX62" s="8">
        <f t="shared" si="17"/>
        <v>0</v>
      </c>
      <c r="AY62" s="8">
        <f t="shared" si="18"/>
        <v>7.0940000000000003</v>
      </c>
      <c r="AZ62" s="8">
        <f t="shared" si="19"/>
        <v>7.0940000000000003</v>
      </c>
      <c r="BA62" s="9"/>
      <c r="BB62" s="9"/>
      <c r="BC62" s="9"/>
      <c r="BD62" s="8">
        <f t="shared" si="20"/>
        <v>0</v>
      </c>
      <c r="BE62" s="8">
        <f t="shared" si="21"/>
        <v>7.0940000000000003</v>
      </c>
      <c r="BF62" s="8">
        <f t="shared" si="22"/>
        <v>7.0940000000000003</v>
      </c>
      <c r="BG62" s="9"/>
      <c r="BH62" s="9"/>
      <c r="BI62" s="9"/>
      <c r="BJ62" s="8">
        <f t="shared" si="23"/>
        <v>0</v>
      </c>
      <c r="BK62" s="8">
        <f t="shared" si="24"/>
        <v>7.0940000000000003</v>
      </c>
      <c r="BL62" s="8">
        <f t="shared" si="25"/>
        <v>7.0940000000000003</v>
      </c>
      <c r="BM62" s="9"/>
      <c r="BN62" s="9"/>
      <c r="BO62" s="9"/>
      <c r="BP62" s="8">
        <f t="shared" si="26"/>
        <v>0</v>
      </c>
      <c r="BQ62" s="8">
        <f t="shared" si="27"/>
        <v>7.0940000000000003</v>
      </c>
      <c r="BR62" s="8">
        <f t="shared" si="28"/>
        <v>7.0940000000000003</v>
      </c>
      <c r="BS62" s="9"/>
      <c r="BT62" s="9"/>
      <c r="BU62" s="9"/>
      <c r="BV62" s="8">
        <f t="shared" si="29"/>
        <v>0</v>
      </c>
      <c r="BW62" s="8">
        <f t="shared" si="30"/>
        <v>7.0940000000000003</v>
      </c>
      <c r="BX62" s="8">
        <f t="shared" si="31"/>
        <v>7.0940000000000003</v>
      </c>
      <c r="BY62" s="9"/>
      <c r="BZ62" s="9"/>
      <c r="CA62" s="9"/>
      <c r="CB62" s="8">
        <f t="shared" si="32"/>
        <v>0</v>
      </c>
      <c r="CC62" s="8">
        <f t="shared" si="33"/>
        <v>7.0940000000000003</v>
      </c>
      <c r="CD62" s="8">
        <f t="shared" si="34"/>
        <v>7.0940000000000003</v>
      </c>
      <c r="CE62" s="9"/>
      <c r="CF62" s="9"/>
      <c r="CG62" s="9"/>
      <c r="CH62" s="8">
        <f t="shared" si="35"/>
        <v>0</v>
      </c>
      <c r="CI62" s="8">
        <f t="shared" si="36"/>
        <v>7.0940000000000003</v>
      </c>
      <c r="CJ62" s="8">
        <f t="shared" si="37"/>
        <v>7.0940000000000003</v>
      </c>
      <c r="CK62" s="9"/>
      <c r="CL62" s="9"/>
      <c r="CM62" s="9"/>
      <c r="CN62" s="8">
        <f t="shared" si="38"/>
        <v>0</v>
      </c>
      <c r="CO62" s="8">
        <f t="shared" si="39"/>
        <v>7.0940000000000003</v>
      </c>
      <c r="CP62" s="8">
        <f t="shared" si="40"/>
        <v>7.0940000000000003</v>
      </c>
    </row>
    <row r="63" spans="1:94" x14ac:dyDescent="0.3">
      <c r="A63" s="6">
        <v>55</v>
      </c>
      <c r="B63" s="22" t="s">
        <v>319</v>
      </c>
      <c r="C63" s="20" t="s">
        <v>222</v>
      </c>
      <c r="D63" s="24" t="s">
        <v>362</v>
      </c>
      <c r="E63" s="16" t="s">
        <v>143</v>
      </c>
      <c r="F63" s="14" t="s">
        <v>390</v>
      </c>
      <c r="G63" s="14" t="s">
        <v>84</v>
      </c>
      <c r="H63" s="7" t="s">
        <v>70</v>
      </c>
      <c r="I63" s="8">
        <v>10</v>
      </c>
      <c r="J63" s="8">
        <v>10</v>
      </c>
      <c r="K63" s="9"/>
      <c r="L63" s="9"/>
      <c r="M63" s="9"/>
      <c r="N63" s="8">
        <f t="shared" si="0"/>
        <v>0</v>
      </c>
      <c r="O63" s="8">
        <f t="shared" si="96"/>
        <v>10</v>
      </c>
      <c r="P63" s="8">
        <f t="shared" si="1"/>
        <v>10</v>
      </c>
      <c r="Q63" s="9"/>
      <c r="R63" s="9"/>
      <c r="S63" s="9"/>
      <c r="T63" s="8">
        <f t="shared" si="2"/>
        <v>0</v>
      </c>
      <c r="U63" s="8">
        <f t="shared" si="3"/>
        <v>10</v>
      </c>
      <c r="V63" s="8">
        <f t="shared" si="4"/>
        <v>10</v>
      </c>
      <c r="W63" s="29"/>
      <c r="X63" s="29"/>
      <c r="Y63" s="29"/>
      <c r="Z63" s="8">
        <f t="shared" si="5"/>
        <v>0</v>
      </c>
      <c r="AA63" s="8">
        <f t="shared" si="6"/>
        <v>10</v>
      </c>
      <c r="AB63" s="8">
        <f t="shared" si="7"/>
        <v>10</v>
      </c>
      <c r="AC63" s="29"/>
      <c r="AD63" s="29"/>
      <c r="AE63" s="29"/>
      <c r="AF63" s="8">
        <f t="shared" si="8"/>
        <v>0</v>
      </c>
      <c r="AG63" s="8">
        <f t="shared" si="9"/>
        <v>10</v>
      </c>
      <c r="AH63" s="8">
        <f t="shared" si="10"/>
        <v>10</v>
      </c>
      <c r="AI63" s="29"/>
      <c r="AJ63" s="29"/>
      <c r="AK63" s="29"/>
      <c r="AL63" s="8">
        <f t="shared" si="11"/>
        <v>0</v>
      </c>
      <c r="AM63" s="8">
        <f t="shared" si="12"/>
        <v>10</v>
      </c>
      <c r="AN63" s="8">
        <f t="shared" si="13"/>
        <v>10</v>
      </c>
      <c r="AO63" s="9"/>
      <c r="AP63" s="9"/>
      <c r="AQ63" s="9"/>
      <c r="AR63" s="8">
        <f t="shared" si="14"/>
        <v>0</v>
      </c>
      <c r="AS63" s="8">
        <f t="shared" si="15"/>
        <v>10</v>
      </c>
      <c r="AT63" s="8">
        <f t="shared" si="16"/>
        <v>10</v>
      </c>
      <c r="AU63" s="9"/>
      <c r="AV63" s="9"/>
      <c r="AW63" s="9"/>
      <c r="AX63" s="8">
        <f t="shared" si="17"/>
        <v>0</v>
      </c>
      <c r="AY63" s="8">
        <f t="shared" si="18"/>
        <v>10</v>
      </c>
      <c r="AZ63" s="8">
        <f t="shared" si="19"/>
        <v>10</v>
      </c>
      <c r="BA63" s="9"/>
      <c r="BB63" s="9"/>
      <c r="BC63" s="9"/>
      <c r="BD63" s="8">
        <f t="shared" si="20"/>
        <v>0</v>
      </c>
      <c r="BE63" s="8">
        <f t="shared" si="21"/>
        <v>10</v>
      </c>
      <c r="BF63" s="8">
        <f t="shared" si="22"/>
        <v>10</v>
      </c>
      <c r="BG63" s="9"/>
      <c r="BH63" s="9"/>
      <c r="BI63" s="9"/>
      <c r="BJ63" s="8">
        <f t="shared" si="23"/>
        <v>0</v>
      </c>
      <c r="BK63" s="8">
        <f t="shared" si="24"/>
        <v>10</v>
      </c>
      <c r="BL63" s="8">
        <f t="shared" si="25"/>
        <v>10</v>
      </c>
      <c r="BM63" s="9"/>
      <c r="BN63" s="9"/>
      <c r="BO63" s="9"/>
      <c r="BP63" s="8">
        <f t="shared" si="26"/>
        <v>0</v>
      </c>
      <c r="BQ63" s="8">
        <f t="shared" si="27"/>
        <v>10</v>
      </c>
      <c r="BR63" s="8">
        <f t="shared" si="28"/>
        <v>10</v>
      </c>
      <c r="BS63" s="9"/>
      <c r="BT63" s="9"/>
      <c r="BU63" s="9"/>
      <c r="BV63" s="8">
        <f t="shared" si="29"/>
        <v>0</v>
      </c>
      <c r="BW63" s="8">
        <f t="shared" si="30"/>
        <v>10</v>
      </c>
      <c r="BX63" s="8">
        <f t="shared" si="31"/>
        <v>10</v>
      </c>
      <c r="BY63" s="9"/>
      <c r="BZ63" s="9"/>
      <c r="CA63" s="9"/>
      <c r="CB63" s="8">
        <f t="shared" si="32"/>
        <v>0</v>
      </c>
      <c r="CC63" s="8">
        <f t="shared" si="33"/>
        <v>10</v>
      </c>
      <c r="CD63" s="8">
        <f t="shared" si="34"/>
        <v>10</v>
      </c>
      <c r="CE63" s="9"/>
      <c r="CF63" s="9"/>
      <c r="CG63" s="9"/>
      <c r="CH63" s="8">
        <f t="shared" si="35"/>
        <v>0</v>
      </c>
      <c r="CI63" s="8">
        <f t="shared" si="36"/>
        <v>10</v>
      </c>
      <c r="CJ63" s="8">
        <f t="shared" si="37"/>
        <v>10</v>
      </c>
      <c r="CK63" s="9"/>
      <c r="CL63" s="9"/>
      <c r="CM63" s="9"/>
      <c r="CN63" s="8">
        <f t="shared" si="38"/>
        <v>0</v>
      </c>
      <c r="CO63" s="8">
        <f t="shared" si="39"/>
        <v>10</v>
      </c>
      <c r="CP63" s="8">
        <f t="shared" si="40"/>
        <v>10</v>
      </c>
    </row>
    <row r="64" spans="1:94" x14ac:dyDescent="0.3">
      <c r="A64" s="6">
        <v>56</v>
      </c>
      <c r="B64" s="22" t="s">
        <v>320</v>
      </c>
      <c r="C64" s="20" t="s">
        <v>223</v>
      </c>
      <c r="D64" s="24" t="s">
        <v>362</v>
      </c>
      <c r="E64" s="16" t="s">
        <v>144</v>
      </c>
      <c r="F64" s="13" t="s">
        <v>371</v>
      </c>
      <c r="G64" s="13" t="s">
        <v>367</v>
      </c>
      <c r="H64" s="7" t="s">
        <v>70</v>
      </c>
      <c r="I64" s="8">
        <v>10</v>
      </c>
      <c r="J64" s="8">
        <v>10</v>
      </c>
      <c r="K64" s="9"/>
      <c r="L64" s="9"/>
      <c r="M64" s="9"/>
      <c r="N64" s="8">
        <f t="shared" si="0"/>
        <v>0</v>
      </c>
      <c r="O64" s="8">
        <f t="shared" si="96"/>
        <v>10</v>
      </c>
      <c r="P64" s="8">
        <f t="shared" si="1"/>
        <v>10</v>
      </c>
      <c r="Q64" s="9"/>
      <c r="R64" s="9"/>
      <c r="S64" s="9"/>
      <c r="T64" s="8">
        <f t="shared" si="2"/>
        <v>0</v>
      </c>
      <c r="U64" s="8">
        <f t="shared" si="3"/>
        <v>10</v>
      </c>
      <c r="V64" s="8">
        <f t="shared" si="4"/>
        <v>10</v>
      </c>
      <c r="W64" s="29"/>
      <c r="X64" s="29"/>
      <c r="Y64" s="29"/>
      <c r="Z64" s="8">
        <f t="shared" si="5"/>
        <v>0</v>
      </c>
      <c r="AA64" s="8">
        <f t="shared" si="6"/>
        <v>10</v>
      </c>
      <c r="AB64" s="8">
        <f t="shared" si="7"/>
        <v>10</v>
      </c>
      <c r="AC64" s="29"/>
      <c r="AD64" s="29"/>
      <c r="AE64" s="29"/>
      <c r="AF64" s="8">
        <f t="shared" si="8"/>
        <v>0</v>
      </c>
      <c r="AG64" s="8">
        <f t="shared" si="9"/>
        <v>10</v>
      </c>
      <c r="AH64" s="8">
        <f t="shared" si="10"/>
        <v>10</v>
      </c>
      <c r="AI64" s="29"/>
      <c r="AJ64" s="29"/>
      <c r="AK64" s="29"/>
      <c r="AL64" s="8">
        <f t="shared" si="11"/>
        <v>0</v>
      </c>
      <c r="AM64" s="8">
        <f t="shared" si="12"/>
        <v>10</v>
      </c>
      <c r="AN64" s="8">
        <f t="shared" si="13"/>
        <v>10</v>
      </c>
      <c r="AO64" s="9"/>
      <c r="AP64" s="9"/>
      <c r="AQ64" s="9"/>
      <c r="AR64" s="8">
        <f t="shared" si="14"/>
        <v>0</v>
      </c>
      <c r="AS64" s="8">
        <f t="shared" si="15"/>
        <v>10</v>
      </c>
      <c r="AT64" s="8">
        <f t="shared" si="16"/>
        <v>10</v>
      </c>
      <c r="AU64" s="9"/>
      <c r="AV64" s="9"/>
      <c r="AW64" s="9"/>
      <c r="AX64" s="8">
        <f t="shared" si="17"/>
        <v>0</v>
      </c>
      <c r="AY64" s="8">
        <f t="shared" si="18"/>
        <v>10</v>
      </c>
      <c r="AZ64" s="8">
        <f t="shared" si="19"/>
        <v>10</v>
      </c>
      <c r="BA64" s="9"/>
      <c r="BB64" s="9"/>
      <c r="BC64" s="9"/>
      <c r="BD64" s="8">
        <f t="shared" si="20"/>
        <v>0</v>
      </c>
      <c r="BE64" s="8">
        <f t="shared" si="21"/>
        <v>10</v>
      </c>
      <c r="BF64" s="8">
        <f t="shared" si="22"/>
        <v>10</v>
      </c>
      <c r="BG64" s="9"/>
      <c r="BH64" s="9"/>
      <c r="BI64" s="9"/>
      <c r="BJ64" s="8">
        <f t="shared" si="23"/>
        <v>0</v>
      </c>
      <c r="BK64" s="8">
        <f t="shared" si="24"/>
        <v>10</v>
      </c>
      <c r="BL64" s="8">
        <f t="shared" si="25"/>
        <v>10</v>
      </c>
      <c r="BM64" s="9"/>
      <c r="BN64" s="9"/>
      <c r="BO64" s="9"/>
      <c r="BP64" s="8">
        <f t="shared" si="26"/>
        <v>0</v>
      </c>
      <c r="BQ64" s="8">
        <f t="shared" si="27"/>
        <v>10</v>
      </c>
      <c r="BR64" s="8">
        <f t="shared" si="28"/>
        <v>10</v>
      </c>
      <c r="BS64" s="9"/>
      <c r="BT64" s="9"/>
      <c r="BU64" s="9"/>
      <c r="BV64" s="8">
        <f t="shared" si="29"/>
        <v>0</v>
      </c>
      <c r="BW64" s="8">
        <f t="shared" si="30"/>
        <v>10</v>
      </c>
      <c r="BX64" s="8">
        <f t="shared" si="31"/>
        <v>10</v>
      </c>
      <c r="BY64" s="9"/>
      <c r="BZ64" s="9"/>
      <c r="CA64" s="9"/>
      <c r="CB64" s="8">
        <f t="shared" si="32"/>
        <v>0</v>
      </c>
      <c r="CC64" s="8">
        <f t="shared" si="33"/>
        <v>10</v>
      </c>
      <c r="CD64" s="8">
        <f t="shared" si="34"/>
        <v>10</v>
      </c>
      <c r="CE64" s="9"/>
      <c r="CF64" s="9"/>
      <c r="CG64" s="9"/>
      <c r="CH64" s="8">
        <f t="shared" si="35"/>
        <v>0</v>
      </c>
      <c r="CI64" s="8">
        <f t="shared" si="36"/>
        <v>10</v>
      </c>
      <c r="CJ64" s="8">
        <f t="shared" si="37"/>
        <v>10</v>
      </c>
      <c r="CK64" s="9"/>
      <c r="CL64" s="9"/>
      <c r="CM64" s="9"/>
      <c r="CN64" s="8">
        <f t="shared" si="38"/>
        <v>0</v>
      </c>
      <c r="CO64" s="8">
        <f t="shared" si="39"/>
        <v>10</v>
      </c>
      <c r="CP64" s="8">
        <f t="shared" si="40"/>
        <v>10</v>
      </c>
    </row>
    <row r="65" spans="1:94" x14ac:dyDescent="0.3">
      <c r="A65" s="6">
        <v>57</v>
      </c>
      <c r="B65" s="22" t="s">
        <v>321</v>
      </c>
      <c r="C65" s="20" t="s">
        <v>224</v>
      </c>
      <c r="D65" s="24" t="s">
        <v>362</v>
      </c>
      <c r="E65" s="16" t="s">
        <v>145</v>
      </c>
      <c r="F65" s="14" t="s">
        <v>390</v>
      </c>
      <c r="G65" s="14" t="s">
        <v>84</v>
      </c>
      <c r="H65" s="7" t="s">
        <v>70</v>
      </c>
      <c r="I65" s="8">
        <v>10</v>
      </c>
      <c r="J65" s="8">
        <v>10</v>
      </c>
      <c r="K65" s="9"/>
      <c r="L65" s="9"/>
      <c r="M65" s="9"/>
      <c r="N65" s="8">
        <f t="shared" si="0"/>
        <v>0</v>
      </c>
      <c r="O65" s="8">
        <f t="shared" si="96"/>
        <v>10</v>
      </c>
      <c r="P65" s="8">
        <f t="shared" si="1"/>
        <v>10</v>
      </c>
      <c r="Q65" s="9"/>
      <c r="R65" s="9"/>
      <c r="S65" s="9"/>
      <c r="T65" s="8">
        <f t="shared" si="2"/>
        <v>0</v>
      </c>
      <c r="U65" s="8">
        <f t="shared" si="3"/>
        <v>10</v>
      </c>
      <c r="V65" s="8">
        <f t="shared" si="4"/>
        <v>10</v>
      </c>
      <c r="W65" s="29"/>
      <c r="X65" s="29"/>
      <c r="Y65" s="29"/>
      <c r="Z65" s="8">
        <f t="shared" si="5"/>
        <v>0</v>
      </c>
      <c r="AA65" s="8">
        <f t="shared" si="6"/>
        <v>10</v>
      </c>
      <c r="AB65" s="8">
        <f t="shared" si="7"/>
        <v>10</v>
      </c>
      <c r="AC65" s="29"/>
      <c r="AD65" s="29"/>
      <c r="AE65" s="29"/>
      <c r="AF65" s="8">
        <f t="shared" si="8"/>
        <v>0</v>
      </c>
      <c r="AG65" s="8">
        <f t="shared" si="9"/>
        <v>10</v>
      </c>
      <c r="AH65" s="8">
        <f t="shared" si="10"/>
        <v>10</v>
      </c>
      <c r="AI65" s="29"/>
      <c r="AJ65" s="29"/>
      <c r="AK65" s="29"/>
      <c r="AL65" s="8">
        <f t="shared" si="11"/>
        <v>0</v>
      </c>
      <c r="AM65" s="8">
        <f t="shared" si="12"/>
        <v>10</v>
      </c>
      <c r="AN65" s="8">
        <f t="shared" si="13"/>
        <v>10</v>
      </c>
      <c r="AO65" s="9"/>
      <c r="AP65" s="9"/>
      <c r="AQ65" s="9"/>
      <c r="AR65" s="8">
        <f t="shared" si="14"/>
        <v>0</v>
      </c>
      <c r="AS65" s="8">
        <f t="shared" si="15"/>
        <v>10</v>
      </c>
      <c r="AT65" s="8">
        <f t="shared" si="16"/>
        <v>10</v>
      </c>
      <c r="AU65" s="9"/>
      <c r="AV65" s="9"/>
      <c r="AW65" s="9"/>
      <c r="AX65" s="8">
        <f t="shared" si="17"/>
        <v>0</v>
      </c>
      <c r="AY65" s="8">
        <f t="shared" si="18"/>
        <v>10</v>
      </c>
      <c r="AZ65" s="8">
        <f t="shared" si="19"/>
        <v>10</v>
      </c>
      <c r="BA65" s="9"/>
      <c r="BB65" s="9"/>
      <c r="BC65" s="9"/>
      <c r="BD65" s="8">
        <f t="shared" si="20"/>
        <v>0</v>
      </c>
      <c r="BE65" s="8">
        <f t="shared" si="21"/>
        <v>10</v>
      </c>
      <c r="BF65" s="8">
        <f t="shared" si="22"/>
        <v>10</v>
      </c>
      <c r="BG65" s="9"/>
      <c r="BH65" s="9"/>
      <c r="BI65" s="9"/>
      <c r="BJ65" s="8">
        <f t="shared" si="23"/>
        <v>0</v>
      </c>
      <c r="BK65" s="8">
        <f t="shared" si="24"/>
        <v>10</v>
      </c>
      <c r="BL65" s="8">
        <f t="shared" si="25"/>
        <v>10</v>
      </c>
      <c r="BM65" s="9"/>
      <c r="BN65" s="9"/>
      <c r="BO65" s="9"/>
      <c r="BP65" s="8">
        <f t="shared" si="26"/>
        <v>0</v>
      </c>
      <c r="BQ65" s="8">
        <f t="shared" si="27"/>
        <v>10</v>
      </c>
      <c r="BR65" s="8">
        <f t="shared" si="28"/>
        <v>10</v>
      </c>
      <c r="BS65" s="9"/>
      <c r="BT65" s="9"/>
      <c r="BU65" s="9"/>
      <c r="BV65" s="8">
        <f t="shared" si="29"/>
        <v>0</v>
      </c>
      <c r="BW65" s="8">
        <f t="shared" si="30"/>
        <v>10</v>
      </c>
      <c r="BX65" s="8">
        <f t="shared" si="31"/>
        <v>10</v>
      </c>
      <c r="BY65" s="9"/>
      <c r="BZ65" s="9"/>
      <c r="CA65" s="9"/>
      <c r="CB65" s="8">
        <f t="shared" si="32"/>
        <v>0</v>
      </c>
      <c r="CC65" s="8">
        <f t="shared" si="33"/>
        <v>10</v>
      </c>
      <c r="CD65" s="8">
        <f t="shared" si="34"/>
        <v>10</v>
      </c>
      <c r="CE65" s="9"/>
      <c r="CF65" s="9"/>
      <c r="CG65" s="9"/>
      <c r="CH65" s="8">
        <f t="shared" si="35"/>
        <v>0</v>
      </c>
      <c r="CI65" s="8">
        <f t="shared" si="36"/>
        <v>10</v>
      </c>
      <c r="CJ65" s="8">
        <f t="shared" si="37"/>
        <v>10</v>
      </c>
      <c r="CK65" s="9"/>
      <c r="CL65" s="9"/>
      <c r="CM65" s="9"/>
      <c r="CN65" s="8">
        <f t="shared" si="38"/>
        <v>0</v>
      </c>
      <c r="CO65" s="8">
        <f t="shared" si="39"/>
        <v>10</v>
      </c>
      <c r="CP65" s="8">
        <f t="shared" si="40"/>
        <v>10</v>
      </c>
    </row>
    <row r="66" spans="1:94" x14ac:dyDescent="0.3">
      <c r="A66" s="6">
        <v>58</v>
      </c>
      <c r="B66" s="22" t="s">
        <v>322</v>
      </c>
      <c r="C66" s="20" t="s">
        <v>225</v>
      </c>
      <c r="D66" s="24" t="s">
        <v>362</v>
      </c>
      <c r="E66" s="16" t="s">
        <v>146</v>
      </c>
      <c r="F66" s="12" t="s">
        <v>371</v>
      </c>
      <c r="G66" s="12" t="s">
        <v>367</v>
      </c>
      <c r="H66" s="7" t="s">
        <v>70</v>
      </c>
      <c r="I66" s="8">
        <v>20</v>
      </c>
      <c r="J66" s="8">
        <v>20</v>
      </c>
      <c r="K66" s="9"/>
      <c r="L66" s="9"/>
      <c r="M66" s="9"/>
      <c r="N66" s="8">
        <f t="shared" si="0"/>
        <v>0</v>
      </c>
      <c r="O66" s="8">
        <f t="shared" si="96"/>
        <v>20</v>
      </c>
      <c r="P66" s="8">
        <f t="shared" si="1"/>
        <v>20</v>
      </c>
      <c r="Q66" s="9"/>
      <c r="R66" s="9"/>
      <c r="S66" s="9"/>
      <c r="T66" s="8">
        <f t="shared" si="2"/>
        <v>0</v>
      </c>
      <c r="U66" s="8">
        <f t="shared" si="3"/>
        <v>20</v>
      </c>
      <c r="V66" s="8">
        <f t="shared" si="4"/>
        <v>20</v>
      </c>
      <c r="W66" s="29"/>
      <c r="X66" s="29">
        <v>0.03</v>
      </c>
      <c r="Y66" s="29">
        <v>0</v>
      </c>
      <c r="Z66" s="8">
        <f t="shared" si="5"/>
        <v>0.03</v>
      </c>
      <c r="AA66" s="8">
        <f t="shared" si="6"/>
        <v>19.97</v>
      </c>
      <c r="AB66" s="8">
        <f t="shared" si="7"/>
        <v>19.97</v>
      </c>
      <c r="AC66" s="29"/>
      <c r="AD66" s="29"/>
      <c r="AE66" s="29"/>
      <c r="AF66" s="8">
        <f t="shared" si="8"/>
        <v>0</v>
      </c>
      <c r="AG66" s="8">
        <f t="shared" si="9"/>
        <v>19.97</v>
      </c>
      <c r="AH66" s="8">
        <f t="shared" si="10"/>
        <v>19.97</v>
      </c>
      <c r="AI66" s="29"/>
      <c r="AJ66" s="29"/>
      <c r="AK66" s="29"/>
      <c r="AL66" s="8">
        <f t="shared" si="11"/>
        <v>0</v>
      </c>
      <c r="AM66" s="8">
        <f t="shared" si="12"/>
        <v>19.97</v>
      </c>
      <c r="AN66" s="8">
        <f t="shared" si="13"/>
        <v>19.97</v>
      </c>
      <c r="AO66" s="9"/>
      <c r="AP66" s="9"/>
      <c r="AQ66" s="9"/>
      <c r="AR66" s="8">
        <f t="shared" si="14"/>
        <v>0</v>
      </c>
      <c r="AS66" s="8">
        <f t="shared" si="15"/>
        <v>19.97</v>
      </c>
      <c r="AT66" s="8">
        <f t="shared" si="16"/>
        <v>19.97</v>
      </c>
      <c r="AU66" s="9"/>
      <c r="AV66" s="9"/>
      <c r="AW66" s="9"/>
      <c r="AX66" s="8">
        <f t="shared" si="17"/>
        <v>0</v>
      </c>
      <c r="AY66" s="8">
        <f t="shared" si="18"/>
        <v>19.97</v>
      </c>
      <c r="AZ66" s="8">
        <f t="shared" si="19"/>
        <v>19.97</v>
      </c>
      <c r="BA66" s="9"/>
      <c r="BB66" s="9"/>
      <c r="BC66" s="9"/>
      <c r="BD66" s="8">
        <f t="shared" si="20"/>
        <v>0</v>
      </c>
      <c r="BE66" s="8">
        <f t="shared" si="21"/>
        <v>19.97</v>
      </c>
      <c r="BF66" s="8">
        <f t="shared" si="22"/>
        <v>19.97</v>
      </c>
      <c r="BG66" s="9"/>
      <c r="BH66" s="9"/>
      <c r="BI66" s="9"/>
      <c r="BJ66" s="8">
        <f t="shared" si="23"/>
        <v>0</v>
      </c>
      <c r="BK66" s="8">
        <f t="shared" si="24"/>
        <v>19.97</v>
      </c>
      <c r="BL66" s="8">
        <f t="shared" si="25"/>
        <v>19.97</v>
      </c>
      <c r="BM66" s="9"/>
      <c r="BN66" s="9"/>
      <c r="BO66" s="9"/>
      <c r="BP66" s="8">
        <f t="shared" si="26"/>
        <v>0</v>
      </c>
      <c r="BQ66" s="8">
        <f t="shared" si="27"/>
        <v>19.97</v>
      </c>
      <c r="BR66" s="8">
        <f t="shared" si="28"/>
        <v>19.97</v>
      </c>
      <c r="BS66" s="9"/>
      <c r="BT66" s="9"/>
      <c r="BU66" s="9"/>
      <c r="BV66" s="8">
        <f t="shared" si="29"/>
        <v>0</v>
      </c>
      <c r="BW66" s="8">
        <f t="shared" si="30"/>
        <v>19.97</v>
      </c>
      <c r="BX66" s="8">
        <f t="shared" si="31"/>
        <v>19.97</v>
      </c>
      <c r="BY66" s="9"/>
      <c r="BZ66" s="9"/>
      <c r="CA66" s="9"/>
      <c r="CB66" s="8">
        <f t="shared" si="32"/>
        <v>0</v>
      </c>
      <c r="CC66" s="8">
        <f t="shared" si="33"/>
        <v>19.97</v>
      </c>
      <c r="CD66" s="8">
        <f t="shared" si="34"/>
        <v>19.97</v>
      </c>
      <c r="CE66" s="9"/>
      <c r="CF66" s="9"/>
      <c r="CG66" s="9"/>
      <c r="CH66" s="8">
        <f t="shared" si="35"/>
        <v>0</v>
      </c>
      <c r="CI66" s="8">
        <f t="shared" si="36"/>
        <v>19.97</v>
      </c>
      <c r="CJ66" s="8">
        <f t="shared" si="37"/>
        <v>19.97</v>
      </c>
      <c r="CK66" s="9"/>
      <c r="CL66" s="9"/>
      <c r="CM66" s="9"/>
      <c r="CN66" s="8">
        <f t="shared" si="38"/>
        <v>0</v>
      </c>
      <c r="CO66" s="8">
        <f t="shared" si="39"/>
        <v>19.97</v>
      </c>
      <c r="CP66" s="8">
        <f t="shared" si="40"/>
        <v>19.97</v>
      </c>
    </row>
    <row r="67" spans="1:94" x14ac:dyDescent="0.3">
      <c r="A67" s="6">
        <v>59</v>
      </c>
      <c r="B67" s="22" t="s">
        <v>323</v>
      </c>
      <c r="C67" s="20" t="s">
        <v>226</v>
      </c>
      <c r="D67" s="24" t="s">
        <v>362</v>
      </c>
      <c r="E67" s="16" t="s">
        <v>147</v>
      </c>
      <c r="F67" s="12" t="s">
        <v>371</v>
      </c>
      <c r="G67" s="12" t="s">
        <v>367</v>
      </c>
      <c r="H67" s="7" t="s">
        <v>70</v>
      </c>
      <c r="I67" s="8">
        <v>8.5200000000000014</v>
      </c>
      <c r="J67" s="8">
        <v>8.5200000000000014</v>
      </c>
      <c r="K67" s="9"/>
      <c r="L67" s="9"/>
      <c r="M67" s="9"/>
      <c r="N67" s="8">
        <f t="shared" si="0"/>
        <v>0</v>
      </c>
      <c r="O67" s="8">
        <f t="shared" si="96"/>
        <v>8.5200000000000014</v>
      </c>
      <c r="P67" s="8">
        <f t="shared" si="1"/>
        <v>8.5200000000000014</v>
      </c>
      <c r="Q67" s="9"/>
      <c r="R67" s="9"/>
      <c r="S67" s="9"/>
      <c r="T67" s="8">
        <f t="shared" si="2"/>
        <v>0</v>
      </c>
      <c r="U67" s="8">
        <f t="shared" si="3"/>
        <v>8.5200000000000014</v>
      </c>
      <c r="V67" s="8">
        <f t="shared" si="4"/>
        <v>8.5200000000000014</v>
      </c>
      <c r="W67" s="29"/>
      <c r="X67" s="29"/>
      <c r="Y67" s="29"/>
      <c r="Z67" s="8">
        <f t="shared" si="5"/>
        <v>0</v>
      </c>
      <c r="AA67" s="8">
        <f t="shared" si="6"/>
        <v>8.5200000000000014</v>
      </c>
      <c r="AB67" s="8">
        <f t="shared" si="7"/>
        <v>8.5200000000000014</v>
      </c>
      <c r="AC67" s="29"/>
      <c r="AD67" s="29"/>
      <c r="AE67" s="29"/>
      <c r="AF67" s="8">
        <f t="shared" si="8"/>
        <v>0</v>
      </c>
      <c r="AG67" s="8">
        <f t="shared" si="9"/>
        <v>8.5200000000000014</v>
      </c>
      <c r="AH67" s="8">
        <f t="shared" si="10"/>
        <v>8.5200000000000014</v>
      </c>
      <c r="AI67" s="29"/>
      <c r="AJ67" s="29"/>
      <c r="AK67" s="29"/>
      <c r="AL67" s="8">
        <f t="shared" si="11"/>
        <v>0</v>
      </c>
      <c r="AM67" s="8">
        <f t="shared" si="12"/>
        <v>8.5200000000000014</v>
      </c>
      <c r="AN67" s="8">
        <f t="shared" si="13"/>
        <v>8.5200000000000014</v>
      </c>
      <c r="AO67" s="9"/>
      <c r="AP67" s="9"/>
      <c r="AQ67" s="9"/>
      <c r="AR67" s="8">
        <f t="shared" si="14"/>
        <v>0</v>
      </c>
      <c r="AS67" s="8">
        <f t="shared" si="15"/>
        <v>8.5200000000000014</v>
      </c>
      <c r="AT67" s="8">
        <f t="shared" si="16"/>
        <v>8.5200000000000014</v>
      </c>
      <c r="AU67" s="9"/>
      <c r="AV67" s="9"/>
      <c r="AW67" s="9"/>
      <c r="AX67" s="8">
        <f t="shared" si="17"/>
        <v>0</v>
      </c>
      <c r="AY67" s="8">
        <f t="shared" si="18"/>
        <v>8.5200000000000014</v>
      </c>
      <c r="AZ67" s="8">
        <f t="shared" si="19"/>
        <v>8.5200000000000014</v>
      </c>
      <c r="BA67" s="9"/>
      <c r="BB67" s="9"/>
      <c r="BC67" s="9"/>
      <c r="BD67" s="8">
        <f t="shared" si="20"/>
        <v>0</v>
      </c>
      <c r="BE67" s="8">
        <f t="shared" si="21"/>
        <v>8.5200000000000014</v>
      </c>
      <c r="BF67" s="8">
        <f t="shared" si="22"/>
        <v>8.5200000000000014</v>
      </c>
      <c r="BG67" s="9"/>
      <c r="BH67" s="9"/>
      <c r="BI67" s="9"/>
      <c r="BJ67" s="8">
        <f t="shared" si="23"/>
        <v>0</v>
      </c>
      <c r="BK67" s="8">
        <f t="shared" si="24"/>
        <v>8.5200000000000014</v>
      </c>
      <c r="BL67" s="8">
        <f t="shared" si="25"/>
        <v>8.5200000000000014</v>
      </c>
      <c r="BM67" s="9"/>
      <c r="BN67" s="9"/>
      <c r="BO67" s="9"/>
      <c r="BP67" s="8">
        <f t="shared" si="26"/>
        <v>0</v>
      </c>
      <c r="BQ67" s="8">
        <f t="shared" si="27"/>
        <v>8.5200000000000014</v>
      </c>
      <c r="BR67" s="8">
        <f t="shared" si="28"/>
        <v>8.5200000000000014</v>
      </c>
      <c r="BS67" s="9"/>
      <c r="BT67" s="9"/>
      <c r="BU67" s="9"/>
      <c r="BV67" s="8">
        <f t="shared" si="29"/>
        <v>0</v>
      </c>
      <c r="BW67" s="8">
        <f t="shared" si="30"/>
        <v>8.5200000000000014</v>
      </c>
      <c r="BX67" s="8">
        <f t="shared" si="31"/>
        <v>8.5200000000000014</v>
      </c>
      <c r="BY67" s="9"/>
      <c r="BZ67" s="9"/>
      <c r="CA67" s="9"/>
      <c r="CB67" s="8">
        <f t="shared" si="32"/>
        <v>0</v>
      </c>
      <c r="CC67" s="8">
        <f t="shared" si="33"/>
        <v>8.5200000000000014</v>
      </c>
      <c r="CD67" s="8">
        <f t="shared" si="34"/>
        <v>8.5200000000000014</v>
      </c>
      <c r="CE67" s="9"/>
      <c r="CF67" s="9"/>
      <c r="CG67" s="9"/>
      <c r="CH67" s="8">
        <f t="shared" si="35"/>
        <v>0</v>
      </c>
      <c r="CI67" s="8">
        <f t="shared" si="36"/>
        <v>8.5200000000000014</v>
      </c>
      <c r="CJ67" s="8">
        <f t="shared" si="37"/>
        <v>8.5200000000000014</v>
      </c>
      <c r="CK67" s="9"/>
      <c r="CL67" s="9"/>
      <c r="CM67" s="9"/>
      <c r="CN67" s="8">
        <f t="shared" si="38"/>
        <v>0</v>
      </c>
      <c r="CO67" s="8">
        <f t="shared" si="39"/>
        <v>8.5200000000000014</v>
      </c>
      <c r="CP67" s="8">
        <f t="shared" si="40"/>
        <v>8.5200000000000014</v>
      </c>
    </row>
    <row r="68" spans="1:94" x14ac:dyDescent="0.3">
      <c r="A68" s="6">
        <v>60</v>
      </c>
      <c r="B68" s="22" t="s">
        <v>324</v>
      </c>
      <c r="C68" s="20" t="s">
        <v>227</v>
      </c>
      <c r="D68" s="24" t="s">
        <v>362</v>
      </c>
      <c r="E68" s="16" t="s">
        <v>148</v>
      </c>
      <c r="F68" s="12" t="s">
        <v>371</v>
      </c>
      <c r="G68" s="12" t="s">
        <v>367</v>
      </c>
      <c r="H68" s="7" t="s">
        <v>70</v>
      </c>
      <c r="I68" s="8">
        <v>10</v>
      </c>
      <c r="J68" s="8">
        <v>10</v>
      </c>
      <c r="K68" s="9"/>
      <c r="L68" s="9"/>
      <c r="M68" s="9"/>
      <c r="N68" s="8">
        <f t="shared" si="0"/>
        <v>0</v>
      </c>
      <c r="O68" s="8">
        <f t="shared" si="96"/>
        <v>10</v>
      </c>
      <c r="P68" s="8">
        <f t="shared" si="1"/>
        <v>10</v>
      </c>
      <c r="Q68" s="9"/>
      <c r="R68" s="9"/>
      <c r="S68" s="9"/>
      <c r="T68" s="8">
        <f t="shared" si="2"/>
        <v>0</v>
      </c>
      <c r="U68" s="8">
        <f t="shared" si="3"/>
        <v>10</v>
      </c>
      <c r="V68" s="8">
        <f t="shared" si="4"/>
        <v>10</v>
      </c>
      <c r="W68" s="29"/>
      <c r="X68" s="29"/>
      <c r="Y68" s="29"/>
      <c r="Z68" s="8">
        <f t="shared" si="5"/>
        <v>0</v>
      </c>
      <c r="AA68" s="8">
        <f t="shared" si="6"/>
        <v>10</v>
      </c>
      <c r="AB68" s="8">
        <f t="shared" si="7"/>
        <v>10</v>
      </c>
      <c r="AC68" s="29"/>
      <c r="AD68" s="29"/>
      <c r="AE68" s="29"/>
      <c r="AF68" s="8">
        <f t="shared" si="8"/>
        <v>0</v>
      </c>
      <c r="AG68" s="8">
        <f t="shared" si="9"/>
        <v>10</v>
      </c>
      <c r="AH68" s="8">
        <f t="shared" si="10"/>
        <v>10</v>
      </c>
      <c r="AI68" s="29"/>
      <c r="AJ68" s="29"/>
      <c r="AK68" s="29"/>
      <c r="AL68" s="8">
        <f t="shared" si="11"/>
        <v>0</v>
      </c>
      <c r="AM68" s="8">
        <f t="shared" si="12"/>
        <v>10</v>
      </c>
      <c r="AN68" s="8">
        <f t="shared" si="13"/>
        <v>10</v>
      </c>
      <c r="AO68" s="9"/>
      <c r="AP68" s="9"/>
      <c r="AQ68" s="9"/>
      <c r="AR68" s="8">
        <f t="shared" si="14"/>
        <v>0</v>
      </c>
      <c r="AS68" s="8">
        <f t="shared" si="15"/>
        <v>10</v>
      </c>
      <c r="AT68" s="8">
        <f t="shared" si="16"/>
        <v>10</v>
      </c>
      <c r="AU68" s="9"/>
      <c r="AV68" s="9"/>
      <c r="AW68" s="9"/>
      <c r="AX68" s="8">
        <f t="shared" si="17"/>
        <v>0</v>
      </c>
      <c r="AY68" s="8">
        <f t="shared" si="18"/>
        <v>10</v>
      </c>
      <c r="AZ68" s="8">
        <f t="shared" si="19"/>
        <v>10</v>
      </c>
      <c r="BA68" s="9"/>
      <c r="BB68" s="9"/>
      <c r="BC68" s="9"/>
      <c r="BD68" s="8">
        <f t="shared" si="20"/>
        <v>0</v>
      </c>
      <c r="BE68" s="8">
        <f t="shared" si="21"/>
        <v>10</v>
      </c>
      <c r="BF68" s="8">
        <f t="shared" si="22"/>
        <v>10</v>
      </c>
      <c r="BG68" s="9"/>
      <c r="BH68" s="9"/>
      <c r="BI68" s="9"/>
      <c r="BJ68" s="8">
        <f t="shared" si="23"/>
        <v>0</v>
      </c>
      <c r="BK68" s="8">
        <f t="shared" si="24"/>
        <v>10</v>
      </c>
      <c r="BL68" s="8">
        <f t="shared" si="25"/>
        <v>10</v>
      </c>
      <c r="BM68" s="9"/>
      <c r="BN68" s="9"/>
      <c r="BO68" s="9"/>
      <c r="BP68" s="8">
        <f t="shared" si="26"/>
        <v>0</v>
      </c>
      <c r="BQ68" s="8">
        <f t="shared" si="27"/>
        <v>10</v>
      </c>
      <c r="BR68" s="8">
        <f t="shared" si="28"/>
        <v>10</v>
      </c>
      <c r="BS68" s="9"/>
      <c r="BT68" s="9"/>
      <c r="BU68" s="9"/>
      <c r="BV68" s="8">
        <f t="shared" si="29"/>
        <v>0</v>
      </c>
      <c r="BW68" s="8">
        <f t="shared" si="30"/>
        <v>10</v>
      </c>
      <c r="BX68" s="8">
        <f t="shared" si="31"/>
        <v>10</v>
      </c>
      <c r="BY68" s="9"/>
      <c r="BZ68" s="9"/>
      <c r="CA68" s="9"/>
      <c r="CB68" s="8">
        <f t="shared" si="32"/>
        <v>0</v>
      </c>
      <c r="CC68" s="8">
        <f t="shared" si="33"/>
        <v>10</v>
      </c>
      <c r="CD68" s="8">
        <f t="shared" si="34"/>
        <v>10</v>
      </c>
      <c r="CE68" s="9"/>
      <c r="CF68" s="9"/>
      <c r="CG68" s="9"/>
      <c r="CH68" s="8">
        <f t="shared" si="35"/>
        <v>0</v>
      </c>
      <c r="CI68" s="8">
        <f t="shared" si="36"/>
        <v>10</v>
      </c>
      <c r="CJ68" s="8">
        <f t="shared" si="37"/>
        <v>10</v>
      </c>
      <c r="CK68" s="9"/>
      <c r="CL68" s="9"/>
      <c r="CM68" s="9"/>
      <c r="CN68" s="8">
        <f t="shared" si="38"/>
        <v>0</v>
      </c>
      <c r="CO68" s="8">
        <f t="shared" si="39"/>
        <v>10</v>
      </c>
      <c r="CP68" s="8">
        <f t="shared" si="40"/>
        <v>10</v>
      </c>
    </row>
    <row r="69" spans="1:94" x14ac:dyDescent="0.3">
      <c r="A69" s="6">
        <v>61</v>
      </c>
      <c r="B69" s="22" t="s">
        <v>325</v>
      </c>
      <c r="C69" s="21" t="s">
        <v>228</v>
      </c>
      <c r="D69" s="24" t="s">
        <v>362</v>
      </c>
      <c r="E69" s="16" t="s">
        <v>149</v>
      </c>
      <c r="F69" s="12" t="s">
        <v>371</v>
      </c>
      <c r="G69" s="12" t="s">
        <v>370</v>
      </c>
      <c r="H69" s="7" t="s">
        <v>70</v>
      </c>
      <c r="I69" s="8">
        <v>10</v>
      </c>
      <c r="J69" s="8">
        <v>10</v>
      </c>
      <c r="K69" s="9"/>
      <c r="L69" s="9"/>
      <c r="M69" s="9"/>
      <c r="N69" s="8">
        <f t="shared" si="0"/>
        <v>0</v>
      </c>
      <c r="O69" s="8">
        <f t="shared" si="96"/>
        <v>10</v>
      </c>
      <c r="P69" s="8">
        <f t="shared" si="1"/>
        <v>10</v>
      </c>
      <c r="Q69" s="9"/>
      <c r="R69" s="9"/>
      <c r="S69" s="9"/>
      <c r="T69" s="8">
        <f t="shared" si="2"/>
        <v>0</v>
      </c>
      <c r="U69" s="8">
        <f t="shared" si="3"/>
        <v>10</v>
      </c>
      <c r="V69" s="8">
        <f t="shared" si="4"/>
        <v>10</v>
      </c>
      <c r="W69" s="29"/>
      <c r="X69" s="29"/>
      <c r="Y69" s="29"/>
      <c r="Z69" s="8">
        <f t="shared" si="5"/>
        <v>0</v>
      </c>
      <c r="AA69" s="8">
        <f t="shared" si="6"/>
        <v>10</v>
      </c>
      <c r="AB69" s="8">
        <f t="shared" si="7"/>
        <v>10</v>
      </c>
      <c r="AC69" s="29"/>
      <c r="AD69" s="29"/>
      <c r="AE69" s="29"/>
      <c r="AF69" s="8">
        <f t="shared" si="8"/>
        <v>0</v>
      </c>
      <c r="AG69" s="8">
        <f t="shared" si="9"/>
        <v>10</v>
      </c>
      <c r="AH69" s="8">
        <f t="shared" si="10"/>
        <v>10</v>
      </c>
      <c r="AI69" s="29"/>
      <c r="AJ69" s="29"/>
      <c r="AK69" s="29"/>
      <c r="AL69" s="8">
        <f t="shared" si="11"/>
        <v>0</v>
      </c>
      <c r="AM69" s="8">
        <f t="shared" si="12"/>
        <v>10</v>
      </c>
      <c r="AN69" s="8">
        <f t="shared" si="13"/>
        <v>10</v>
      </c>
      <c r="AO69" s="9"/>
      <c r="AP69" s="9"/>
      <c r="AQ69" s="9"/>
      <c r="AR69" s="8">
        <f t="shared" si="14"/>
        <v>0</v>
      </c>
      <c r="AS69" s="8">
        <f t="shared" si="15"/>
        <v>10</v>
      </c>
      <c r="AT69" s="8">
        <f t="shared" si="16"/>
        <v>10</v>
      </c>
      <c r="AU69" s="9"/>
      <c r="AV69" s="9"/>
      <c r="AW69" s="9"/>
      <c r="AX69" s="8">
        <f t="shared" si="17"/>
        <v>0</v>
      </c>
      <c r="AY69" s="8">
        <f t="shared" si="18"/>
        <v>10</v>
      </c>
      <c r="AZ69" s="8">
        <f t="shared" si="19"/>
        <v>10</v>
      </c>
      <c r="BA69" s="9"/>
      <c r="BB69" s="9"/>
      <c r="BC69" s="9"/>
      <c r="BD69" s="8">
        <f t="shared" si="20"/>
        <v>0</v>
      </c>
      <c r="BE69" s="8">
        <f t="shared" si="21"/>
        <v>10</v>
      </c>
      <c r="BF69" s="8">
        <f t="shared" si="22"/>
        <v>10</v>
      </c>
      <c r="BG69" s="9"/>
      <c r="BH69" s="9"/>
      <c r="BI69" s="9"/>
      <c r="BJ69" s="8">
        <f t="shared" si="23"/>
        <v>0</v>
      </c>
      <c r="BK69" s="8">
        <f t="shared" si="24"/>
        <v>10</v>
      </c>
      <c r="BL69" s="8">
        <f t="shared" si="25"/>
        <v>10</v>
      </c>
      <c r="BM69" s="9"/>
      <c r="BN69" s="9"/>
      <c r="BO69" s="9"/>
      <c r="BP69" s="8">
        <f t="shared" si="26"/>
        <v>0</v>
      </c>
      <c r="BQ69" s="8">
        <f t="shared" si="27"/>
        <v>10</v>
      </c>
      <c r="BR69" s="8">
        <f t="shared" si="28"/>
        <v>10</v>
      </c>
      <c r="BS69" s="9"/>
      <c r="BT69" s="9"/>
      <c r="BU69" s="9"/>
      <c r="BV69" s="8">
        <f t="shared" si="29"/>
        <v>0</v>
      </c>
      <c r="BW69" s="8">
        <f t="shared" si="30"/>
        <v>10</v>
      </c>
      <c r="BX69" s="8">
        <f t="shared" si="31"/>
        <v>10</v>
      </c>
      <c r="BY69" s="9"/>
      <c r="BZ69" s="9"/>
      <c r="CA69" s="9"/>
      <c r="CB69" s="8">
        <f t="shared" si="32"/>
        <v>0</v>
      </c>
      <c r="CC69" s="8">
        <f t="shared" si="33"/>
        <v>10</v>
      </c>
      <c r="CD69" s="8">
        <f t="shared" si="34"/>
        <v>10</v>
      </c>
      <c r="CE69" s="9"/>
      <c r="CF69" s="9"/>
      <c r="CG69" s="9"/>
      <c r="CH69" s="8">
        <f t="shared" si="35"/>
        <v>0</v>
      </c>
      <c r="CI69" s="8">
        <f t="shared" si="36"/>
        <v>10</v>
      </c>
      <c r="CJ69" s="8">
        <f t="shared" si="37"/>
        <v>10</v>
      </c>
      <c r="CK69" s="9"/>
      <c r="CL69" s="9"/>
      <c r="CM69" s="9"/>
      <c r="CN69" s="8">
        <f t="shared" si="38"/>
        <v>0</v>
      </c>
      <c r="CO69" s="8">
        <f t="shared" si="39"/>
        <v>10</v>
      </c>
      <c r="CP69" s="8">
        <f t="shared" si="40"/>
        <v>10</v>
      </c>
    </row>
    <row r="70" spans="1:94" x14ac:dyDescent="0.3">
      <c r="A70" s="6">
        <v>62</v>
      </c>
      <c r="B70" s="22" t="s">
        <v>326</v>
      </c>
      <c r="C70" s="20" t="s">
        <v>229</v>
      </c>
      <c r="D70" s="24" t="s">
        <v>362</v>
      </c>
      <c r="E70" s="19" t="s">
        <v>150</v>
      </c>
      <c r="F70" s="12" t="s">
        <v>371</v>
      </c>
      <c r="G70" s="12" t="s">
        <v>367</v>
      </c>
      <c r="H70" s="7" t="s">
        <v>70</v>
      </c>
      <c r="I70" s="8">
        <v>10</v>
      </c>
      <c r="J70" s="8">
        <v>10</v>
      </c>
      <c r="K70" s="9"/>
      <c r="L70" s="9"/>
      <c r="M70" s="9"/>
      <c r="N70" s="8">
        <f t="shared" si="0"/>
        <v>0</v>
      </c>
      <c r="O70" s="8">
        <f t="shared" si="96"/>
        <v>10</v>
      </c>
      <c r="P70" s="8">
        <f t="shared" si="1"/>
        <v>10</v>
      </c>
      <c r="Q70" s="9"/>
      <c r="R70" s="9"/>
      <c r="S70" s="9"/>
      <c r="T70" s="8">
        <f t="shared" si="2"/>
        <v>0</v>
      </c>
      <c r="U70" s="8">
        <f t="shared" si="3"/>
        <v>10</v>
      </c>
      <c r="V70" s="8">
        <f t="shared" si="4"/>
        <v>10</v>
      </c>
      <c r="W70" s="29"/>
      <c r="X70" s="29"/>
      <c r="Y70" s="29"/>
      <c r="Z70" s="8">
        <f t="shared" si="5"/>
        <v>0</v>
      </c>
      <c r="AA70" s="8">
        <f t="shared" si="6"/>
        <v>10</v>
      </c>
      <c r="AB70" s="8">
        <f t="shared" si="7"/>
        <v>10</v>
      </c>
      <c r="AC70" s="29"/>
      <c r="AD70" s="29"/>
      <c r="AE70" s="29"/>
      <c r="AF70" s="8">
        <f t="shared" si="8"/>
        <v>0</v>
      </c>
      <c r="AG70" s="8">
        <f t="shared" si="9"/>
        <v>10</v>
      </c>
      <c r="AH70" s="8">
        <f t="shared" si="10"/>
        <v>10</v>
      </c>
      <c r="AI70" s="29"/>
      <c r="AJ70" s="29"/>
      <c r="AK70" s="29"/>
      <c r="AL70" s="8">
        <f t="shared" si="11"/>
        <v>0</v>
      </c>
      <c r="AM70" s="8">
        <f t="shared" si="12"/>
        <v>10</v>
      </c>
      <c r="AN70" s="8">
        <f t="shared" si="13"/>
        <v>10</v>
      </c>
      <c r="AO70" s="9"/>
      <c r="AP70" s="9"/>
      <c r="AQ70" s="9"/>
      <c r="AR70" s="8">
        <f t="shared" si="14"/>
        <v>0</v>
      </c>
      <c r="AS70" s="8">
        <f t="shared" si="15"/>
        <v>10</v>
      </c>
      <c r="AT70" s="8">
        <f t="shared" si="16"/>
        <v>10</v>
      </c>
      <c r="AU70" s="9"/>
      <c r="AV70" s="9"/>
      <c r="AW70" s="9"/>
      <c r="AX70" s="8">
        <f t="shared" si="17"/>
        <v>0</v>
      </c>
      <c r="AY70" s="8">
        <f t="shared" si="18"/>
        <v>10</v>
      </c>
      <c r="AZ70" s="8">
        <f t="shared" si="19"/>
        <v>10</v>
      </c>
      <c r="BA70" s="9"/>
      <c r="BB70" s="9"/>
      <c r="BC70" s="9"/>
      <c r="BD70" s="8">
        <f t="shared" si="20"/>
        <v>0</v>
      </c>
      <c r="BE70" s="8">
        <f t="shared" si="21"/>
        <v>10</v>
      </c>
      <c r="BF70" s="8">
        <f t="shared" si="22"/>
        <v>10</v>
      </c>
      <c r="BG70" s="9"/>
      <c r="BH70" s="9"/>
      <c r="BI70" s="9"/>
      <c r="BJ70" s="8">
        <f t="shared" si="23"/>
        <v>0</v>
      </c>
      <c r="BK70" s="8">
        <f t="shared" si="24"/>
        <v>10</v>
      </c>
      <c r="BL70" s="8">
        <f t="shared" si="25"/>
        <v>10</v>
      </c>
      <c r="BM70" s="9"/>
      <c r="BN70" s="9"/>
      <c r="BO70" s="9"/>
      <c r="BP70" s="8">
        <f t="shared" si="26"/>
        <v>0</v>
      </c>
      <c r="BQ70" s="8">
        <f t="shared" si="27"/>
        <v>10</v>
      </c>
      <c r="BR70" s="8">
        <f t="shared" si="28"/>
        <v>10</v>
      </c>
      <c r="BS70" s="9"/>
      <c r="BT70" s="9"/>
      <c r="BU70" s="9"/>
      <c r="BV70" s="8">
        <f t="shared" si="29"/>
        <v>0</v>
      </c>
      <c r="BW70" s="8">
        <f t="shared" si="30"/>
        <v>10</v>
      </c>
      <c r="BX70" s="8">
        <f t="shared" si="31"/>
        <v>10</v>
      </c>
      <c r="BY70" s="9"/>
      <c r="BZ70" s="9"/>
      <c r="CA70" s="9"/>
      <c r="CB70" s="8">
        <f t="shared" si="32"/>
        <v>0</v>
      </c>
      <c r="CC70" s="8">
        <f t="shared" si="33"/>
        <v>10</v>
      </c>
      <c r="CD70" s="8">
        <f t="shared" si="34"/>
        <v>10</v>
      </c>
      <c r="CE70" s="9"/>
      <c r="CF70" s="9"/>
      <c r="CG70" s="9"/>
      <c r="CH70" s="8">
        <f t="shared" si="35"/>
        <v>0</v>
      </c>
      <c r="CI70" s="8">
        <f t="shared" si="36"/>
        <v>10</v>
      </c>
      <c r="CJ70" s="8">
        <f t="shared" si="37"/>
        <v>10</v>
      </c>
      <c r="CK70" s="9"/>
      <c r="CL70" s="9"/>
      <c r="CM70" s="9"/>
      <c r="CN70" s="8">
        <f t="shared" si="38"/>
        <v>0</v>
      </c>
      <c r="CO70" s="8">
        <f t="shared" si="39"/>
        <v>10</v>
      </c>
      <c r="CP70" s="8">
        <f t="shared" si="40"/>
        <v>10</v>
      </c>
    </row>
    <row r="71" spans="1:94" x14ac:dyDescent="0.3">
      <c r="A71" s="6">
        <v>63</v>
      </c>
      <c r="B71" s="22" t="s">
        <v>327</v>
      </c>
      <c r="C71" s="20" t="s">
        <v>230</v>
      </c>
      <c r="D71" s="24" t="s">
        <v>362</v>
      </c>
      <c r="E71" s="16" t="s">
        <v>151</v>
      </c>
      <c r="F71" s="12" t="s">
        <v>371</v>
      </c>
      <c r="G71" s="12" t="s">
        <v>367</v>
      </c>
      <c r="H71" s="7" t="s">
        <v>70</v>
      </c>
      <c r="I71" s="8">
        <v>10</v>
      </c>
      <c r="J71" s="8">
        <v>10</v>
      </c>
      <c r="K71" s="9"/>
      <c r="L71" s="9"/>
      <c r="M71" s="9"/>
      <c r="N71" s="8">
        <f t="shared" si="0"/>
        <v>0</v>
      </c>
      <c r="O71" s="8">
        <f t="shared" si="96"/>
        <v>10</v>
      </c>
      <c r="P71" s="8">
        <f t="shared" si="1"/>
        <v>10</v>
      </c>
      <c r="Q71" s="9"/>
      <c r="R71" s="9"/>
      <c r="S71" s="9"/>
      <c r="T71" s="8">
        <f t="shared" si="2"/>
        <v>0</v>
      </c>
      <c r="U71" s="8">
        <f t="shared" si="3"/>
        <v>10</v>
      </c>
      <c r="V71" s="8">
        <f t="shared" si="4"/>
        <v>10</v>
      </c>
      <c r="W71" s="29"/>
      <c r="X71" s="29"/>
      <c r="Y71" s="29"/>
      <c r="Z71" s="8">
        <f t="shared" si="5"/>
        <v>0</v>
      </c>
      <c r="AA71" s="8">
        <f t="shared" si="6"/>
        <v>10</v>
      </c>
      <c r="AB71" s="8">
        <f t="shared" si="7"/>
        <v>10</v>
      </c>
      <c r="AC71" s="29"/>
      <c r="AD71" s="29"/>
      <c r="AE71" s="29"/>
      <c r="AF71" s="8">
        <f t="shared" si="8"/>
        <v>0</v>
      </c>
      <c r="AG71" s="8">
        <f t="shared" si="9"/>
        <v>10</v>
      </c>
      <c r="AH71" s="8">
        <f t="shared" si="10"/>
        <v>10</v>
      </c>
      <c r="AI71" s="29"/>
      <c r="AJ71" s="29"/>
      <c r="AK71" s="29"/>
      <c r="AL71" s="8">
        <f t="shared" si="11"/>
        <v>0</v>
      </c>
      <c r="AM71" s="8">
        <f t="shared" si="12"/>
        <v>10</v>
      </c>
      <c r="AN71" s="8">
        <f t="shared" si="13"/>
        <v>10</v>
      </c>
      <c r="AO71" s="9"/>
      <c r="AP71" s="9"/>
      <c r="AQ71" s="9"/>
      <c r="AR71" s="8">
        <f t="shared" si="14"/>
        <v>0</v>
      </c>
      <c r="AS71" s="8">
        <f t="shared" si="15"/>
        <v>10</v>
      </c>
      <c r="AT71" s="8">
        <f t="shared" si="16"/>
        <v>10</v>
      </c>
      <c r="AU71" s="9"/>
      <c r="AV71" s="9"/>
      <c r="AW71" s="9"/>
      <c r="AX71" s="8">
        <f t="shared" si="17"/>
        <v>0</v>
      </c>
      <c r="AY71" s="8">
        <f t="shared" si="18"/>
        <v>10</v>
      </c>
      <c r="AZ71" s="8">
        <f t="shared" si="19"/>
        <v>10</v>
      </c>
      <c r="BA71" s="9"/>
      <c r="BB71" s="9"/>
      <c r="BC71" s="9"/>
      <c r="BD71" s="8">
        <f t="shared" si="20"/>
        <v>0</v>
      </c>
      <c r="BE71" s="8">
        <f t="shared" si="21"/>
        <v>10</v>
      </c>
      <c r="BF71" s="8">
        <f t="shared" si="22"/>
        <v>10</v>
      </c>
      <c r="BG71" s="9"/>
      <c r="BH71" s="9"/>
      <c r="BI71" s="9"/>
      <c r="BJ71" s="8">
        <f t="shared" si="23"/>
        <v>0</v>
      </c>
      <c r="BK71" s="8">
        <f t="shared" si="24"/>
        <v>10</v>
      </c>
      <c r="BL71" s="8">
        <f t="shared" si="25"/>
        <v>10</v>
      </c>
      <c r="BM71" s="9"/>
      <c r="BN71" s="9"/>
      <c r="BO71" s="9"/>
      <c r="BP71" s="8">
        <f t="shared" si="26"/>
        <v>0</v>
      </c>
      <c r="BQ71" s="8">
        <f t="shared" si="27"/>
        <v>10</v>
      </c>
      <c r="BR71" s="8">
        <f t="shared" si="28"/>
        <v>10</v>
      </c>
      <c r="BS71" s="9"/>
      <c r="BT71" s="9"/>
      <c r="BU71" s="9"/>
      <c r="BV71" s="8">
        <f t="shared" si="29"/>
        <v>0</v>
      </c>
      <c r="BW71" s="8">
        <f t="shared" si="30"/>
        <v>10</v>
      </c>
      <c r="BX71" s="8">
        <f t="shared" si="31"/>
        <v>10</v>
      </c>
      <c r="BY71" s="9"/>
      <c r="BZ71" s="9"/>
      <c r="CA71" s="9"/>
      <c r="CB71" s="8">
        <f t="shared" si="32"/>
        <v>0</v>
      </c>
      <c r="CC71" s="8">
        <f t="shared" si="33"/>
        <v>10</v>
      </c>
      <c r="CD71" s="8">
        <f t="shared" si="34"/>
        <v>10</v>
      </c>
      <c r="CE71" s="9"/>
      <c r="CF71" s="9"/>
      <c r="CG71" s="9"/>
      <c r="CH71" s="8">
        <f t="shared" si="35"/>
        <v>0</v>
      </c>
      <c r="CI71" s="8">
        <f t="shared" si="36"/>
        <v>10</v>
      </c>
      <c r="CJ71" s="8">
        <f t="shared" si="37"/>
        <v>10</v>
      </c>
      <c r="CK71" s="9"/>
      <c r="CL71" s="9"/>
      <c r="CM71" s="9"/>
      <c r="CN71" s="8">
        <f t="shared" si="38"/>
        <v>0</v>
      </c>
      <c r="CO71" s="8">
        <f t="shared" si="39"/>
        <v>10</v>
      </c>
      <c r="CP71" s="8">
        <f t="shared" si="40"/>
        <v>10</v>
      </c>
    </row>
    <row r="72" spans="1:94" x14ac:dyDescent="0.3">
      <c r="A72" s="6">
        <v>64</v>
      </c>
      <c r="B72" s="22" t="s">
        <v>328</v>
      </c>
      <c r="C72" s="20" t="s">
        <v>231</v>
      </c>
      <c r="D72" s="24" t="s">
        <v>362</v>
      </c>
      <c r="E72" s="16" t="s">
        <v>152</v>
      </c>
      <c r="F72" s="12" t="s">
        <v>371</v>
      </c>
      <c r="G72" s="15" t="s">
        <v>367</v>
      </c>
      <c r="H72" s="7" t="s">
        <v>70</v>
      </c>
      <c r="I72" s="8">
        <v>9.6399999999999988</v>
      </c>
      <c r="J72" s="8">
        <v>9.6399999999999988</v>
      </c>
      <c r="K72" s="9"/>
      <c r="L72" s="9"/>
      <c r="M72" s="9"/>
      <c r="N72" s="8">
        <f t="shared" si="0"/>
        <v>0</v>
      </c>
      <c r="O72" s="8">
        <f t="shared" si="96"/>
        <v>9.6399999999999988</v>
      </c>
      <c r="P72" s="8">
        <f t="shared" si="1"/>
        <v>9.6399999999999988</v>
      </c>
      <c r="Q72" s="9"/>
      <c r="R72" s="9"/>
      <c r="S72" s="9"/>
      <c r="T72" s="8">
        <f t="shared" si="2"/>
        <v>0</v>
      </c>
      <c r="U72" s="8">
        <f t="shared" si="3"/>
        <v>9.6399999999999988</v>
      </c>
      <c r="V72" s="8">
        <f t="shared" si="4"/>
        <v>9.6399999999999988</v>
      </c>
      <c r="W72" s="29"/>
      <c r="X72" s="29">
        <v>7.0000000000000007E-2</v>
      </c>
      <c r="Y72" s="29">
        <v>0</v>
      </c>
      <c r="Z72" s="8">
        <f t="shared" si="5"/>
        <v>7.0000000000000007E-2</v>
      </c>
      <c r="AA72" s="8">
        <f t="shared" si="6"/>
        <v>9.5699999999999985</v>
      </c>
      <c r="AB72" s="8">
        <f t="shared" si="7"/>
        <v>9.5699999999999985</v>
      </c>
      <c r="AC72" s="29"/>
      <c r="AD72" s="29"/>
      <c r="AE72" s="29"/>
      <c r="AF72" s="8">
        <f t="shared" si="8"/>
        <v>0</v>
      </c>
      <c r="AG72" s="8">
        <f t="shared" si="9"/>
        <v>9.5699999999999985</v>
      </c>
      <c r="AH72" s="8">
        <f t="shared" si="10"/>
        <v>9.5699999999999985</v>
      </c>
      <c r="AI72" s="29"/>
      <c r="AJ72" s="29"/>
      <c r="AK72" s="29"/>
      <c r="AL72" s="8">
        <f t="shared" si="11"/>
        <v>0</v>
      </c>
      <c r="AM72" s="8">
        <f t="shared" si="12"/>
        <v>9.5699999999999985</v>
      </c>
      <c r="AN72" s="8">
        <f t="shared" si="13"/>
        <v>9.5699999999999985</v>
      </c>
      <c r="AO72" s="9"/>
      <c r="AP72" s="9"/>
      <c r="AQ72" s="9"/>
      <c r="AR72" s="8">
        <f t="shared" si="14"/>
        <v>0</v>
      </c>
      <c r="AS72" s="8">
        <f t="shared" si="15"/>
        <v>9.5699999999999985</v>
      </c>
      <c r="AT72" s="8">
        <f t="shared" si="16"/>
        <v>9.5699999999999985</v>
      </c>
      <c r="AU72" s="9"/>
      <c r="AV72" s="9"/>
      <c r="AW72" s="9"/>
      <c r="AX72" s="8">
        <f t="shared" si="17"/>
        <v>0</v>
      </c>
      <c r="AY72" s="8">
        <f t="shared" si="18"/>
        <v>9.5699999999999985</v>
      </c>
      <c r="AZ72" s="8">
        <f t="shared" si="19"/>
        <v>9.5699999999999985</v>
      </c>
      <c r="BA72" s="9"/>
      <c r="BB72" s="9"/>
      <c r="BC72" s="9"/>
      <c r="BD72" s="8">
        <f t="shared" si="20"/>
        <v>0</v>
      </c>
      <c r="BE72" s="8">
        <f t="shared" si="21"/>
        <v>9.5699999999999985</v>
      </c>
      <c r="BF72" s="8">
        <f t="shared" si="22"/>
        <v>9.5699999999999985</v>
      </c>
      <c r="BG72" s="9"/>
      <c r="BH72" s="9"/>
      <c r="BI72" s="9"/>
      <c r="BJ72" s="8">
        <f t="shared" si="23"/>
        <v>0</v>
      </c>
      <c r="BK72" s="8">
        <f t="shared" si="24"/>
        <v>9.5699999999999985</v>
      </c>
      <c r="BL72" s="8">
        <f t="shared" si="25"/>
        <v>9.5699999999999985</v>
      </c>
      <c r="BM72" s="9"/>
      <c r="BN72" s="9"/>
      <c r="BO72" s="9"/>
      <c r="BP72" s="8">
        <f t="shared" si="26"/>
        <v>0</v>
      </c>
      <c r="BQ72" s="8">
        <f t="shared" si="27"/>
        <v>9.5699999999999985</v>
      </c>
      <c r="BR72" s="8">
        <f t="shared" si="28"/>
        <v>9.5699999999999985</v>
      </c>
      <c r="BS72" s="9"/>
      <c r="BT72" s="9"/>
      <c r="BU72" s="9"/>
      <c r="BV72" s="8">
        <f t="shared" si="29"/>
        <v>0</v>
      </c>
      <c r="BW72" s="8">
        <f t="shared" si="30"/>
        <v>9.5699999999999985</v>
      </c>
      <c r="BX72" s="8">
        <f t="shared" si="31"/>
        <v>9.5699999999999985</v>
      </c>
      <c r="BY72" s="9"/>
      <c r="BZ72" s="9"/>
      <c r="CA72" s="9"/>
      <c r="CB72" s="8">
        <f t="shared" si="32"/>
        <v>0</v>
      </c>
      <c r="CC72" s="8">
        <f t="shared" si="33"/>
        <v>9.5699999999999985</v>
      </c>
      <c r="CD72" s="8">
        <f t="shared" si="34"/>
        <v>9.5699999999999985</v>
      </c>
      <c r="CE72" s="9"/>
      <c r="CF72" s="9"/>
      <c r="CG72" s="9"/>
      <c r="CH72" s="8">
        <f t="shared" si="35"/>
        <v>0</v>
      </c>
      <c r="CI72" s="8">
        <f t="shared" si="36"/>
        <v>9.5699999999999985</v>
      </c>
      <c r="CJ72" s="8">
        <f t="shared" si="37"/>
        <v>9.5699999999999985</v>
      </c>
      <c r="CK72" s="9"/>
      <c r="CL72" s="9"/>
      <c r="CM72" s="9"/>
      <c r="CN72" s="8">
        <f t="shared" si="38"/>
        <v>0</v>
      </c>
      <c r="CO72" s="8">
        <f t="shared" si="39"/>
        <v>9.5699999999999985</v>
      </c>
      <c r="CP72" s="8">
        <f t="shared" si="40"/>
        <v>9.5699999999999985</v>
      </c>
    </row>
    <row r="73" spans="1:94" x14ac:dyDescent="0.3">
      <c r="A73" s="6">
        <v>65</v>
      </c>
      <c r="B73" s="22" t="s">
        <v>329</v>
      </c>
      <c r="C73" s="20" t="s">
        <v>232</v>
      </c>
      <c r="D73" s="24" t="s">
        <v>362</v>
      </c>
      <c r="E73" s="16" t="s">
        <v>153</v>
      </c>
      <c r="F73" s="12" t="s">
        <v>371</v>
      </c>
      <c r="G73" s="12" t="s">
        <v>367</v>
      </c>
      <c r="H73" s="7" t="s">
        <v>70</v>
      </c>
      <c r="I73" s="8">
        <v>9.17</v>
      </c>
      <c r="J73" s="8">
        <v>9.17</v>
      </c>
      <c r="K73" s="9"/>
      <c r="L73" s="9"/>
      <c r="M73" s="9"/>
      <c r="N73" s="8">
        <f t="shared" ref="N73:N105" si="97">L73-M73</f>
        <v>0</v>
      </c>
      <c r="O73" s="8">
        <f t="shared" si="96"/>
        <v>9.17</v>
      </c>
      <c r="P73" s="8">
        <f t="shared" ref="P73:P105" si="98">O73</f>
        <v>9.17</v>
      </c>
      <c r="Q73" s="9"/>
      <c r="R73" s="9"/>
      <c r="S73" s="9"/>
      <c r="T73" s="8">
        <f t="shared" ref="T73:T105" si="99">R73-S73</f>
        <v>0</v>
      </c>
      <c r="U73" s="8">
        <f t="shared" ref="U73:U105" si="100">P73+Q73-T73</f>
        <v>9.17</v>
      </c>
      <c r="V73" s="8">
        <f t="shared" ref="V73:V105" si="101">U73</f>
        <v>9.17</v>
      </c>
      <c r="W73" s="29"/>
      <c r="X73" s="29">
        <v>0.02</v>
      </c>
      <c r="Y73" s="29">
        <v>0</v>
      </c>
      <c r="Z73" s="8">
        <f t="shared" ref="Z73:Z105" si="102">X73-Y73</f>
        <v>0.02</v>
      </c>
      <c r="AA73" s="8">
        <f t="shared" ref="AA73:AA105" si="103">V73+W73-Z73</f>
        <v>9.15</v>
      </c>
      <c r="AB73" s="8">
        <f t="shared" ref="AB73:AB105" si="104">AA73</f>
        <v>9.15</v>
      </c>
      <c r="AC73" s="29"/>
      <c r="AD73" s="29"/>
      <c r="AE73" s="29"/>
      <c r="AF73" s="8">
        <f t="shared" ref="AF73:AF105" si="105">AD73-AE73</f>
        <v>0</v>
      </c>
      <c r="AG73" s="8">
        <f t="shared" ref="AG73:AG105" si="106">AB73+AC73-AF73</f>
        <v>9.15</v>
      </c>
      <c r="AH73" s="8">
        <f t="shared" ref="AH73:AH105" si="107">AG73</f>
        <v>9.15</v>
      </c>
      <c r="AI73" s="29"/>
      <c r="AJ73" s="29"/>
      <c r="AK73" s="29"/>
      <c r="AL73" s="8">
        <f t="shared" ref="AL73:AL105" si="108">AJ73-AK73</f>
        <v>0</v>
      </c>
      <c r="AM73" s="8">
        <f t="shared" ref="AM73:AM105" si="109">AH73+AI73-AL73</f>
        <v>9.15</v>
      </c>
      <c r="AN73" s="8">
        <f t="shared" ref="AN73:AN105" si="110">AM73</f>
        <v>9.15</v>
      </c>
      <c r="AO73" s="9"/>
      <c r="AP73" s="9"/>
      <c r="AQ73" s="9"/>
      <c r="AR73" s="8">
        <f t="shared" ref="AR73:AR105" si="111">AP73-AQ73</f>
        <v>0</v>
      </c>
      <c r="AS73" s="8">
        <f t="shared" ref="AS73:AS105" si="112">AN73+AO73-AR73</f>
        <v>9.15</v>
      </c>
      <c r="AT73" s="8">
        <f t="shared" ref="AT73:AT105" si="113">AS73</f>
        <v>9.15</v>
      </c>
      <c r="AU73" s="9"/>
      <c r="AV73" s="9"/>
      <c r="AW73" s="9"/>
      <c r="AX73" s="8">
        <f t="shared" ref="AX73:AX105" si="114">AV73-AW73</f>
        <v>0</v>
      </c>
      <c r="AY73" s="8">
        <f t="shared" ref="AY73:AY105" si="115">AT73+AU73-AX73</f>
        <v>9.15</v>
      </c>
      <c r="AZ73" s="8">
        <f t="shared" ref="AZ73:AZ105" si="116">AY73</f>
        <v>9.15</v>
      </c>
      <c r="BA73" s="9"/>
      <c r="BB73" s="9"/>
      <c r="BC73" s="9"/>
      <c r="BD73" s="8">
        <f t="shared" ref="BD73:BD105" si="117">BB73-BC73</f>
        <v>0</v>
      </c>
      <c r="BE73" s="8">
        <f t="shared" ref="BE73:BE105" si="118">AZ73+BA73-BD73</f>
        <v>9.15</v>
      </c>
      <c r="BF73" s="8">
        <f t="shared" ref="BF73:BF105" si="119">BE73</f>
        <v>9.15</v>
      </c>
      <c r="BG73" s="9"/>
      <c r="BH73" s="9"/>
      <c r="BI73" s="9"/>
      <c r="BJ73" s="8">
        <f t="shared" ref="BJ73:BJ105" si="120">BH73-BI73</f>
        <v>0</v>
      </c>
      <c r="BK73" s="8">
        <f t="shared" ref="BK73:BK105" si="121">BF73+BG73-BJ73</f>
        <v>9.15</v>
      </c>
      <c r="BL73" s="8">
        <f t="shared" ref="BL73:BL105" si="122">BK73</f>
        <v>9.15</v>
      </c>
      <c r="BM73" s="9"/>
      <c r="BN73" s="9"/>
      <c r="BO73" s="9"/>
      <c r="BP73" s="8">
        <f t="shared" ref="BP73:BP105" si="123">BN73-BO73</f>
        <v>0</v>
      </c>
      <c r="BQ73" s="8">
        <f t="shared" ref="BQ73:BQ105" si="124">BL73+BM73-BP73</f>
        <v>9.15</v>
      </c>
      <c r="BR73" s="8">
        <f t="shared" ref="BR73:BR105" si="125">BQ73</f>
        <v>9.15</v>
      </c>
      <c r="BS73" s="9"/>
      <c r="BT73" s="9"/>
      <c r="BU73" s="9"/>
      <c r="BV73" s="8">
        <f t="shared" ref="BV73:BV105" si="126">BT73-BU73</f>
        <v>0</v>
      </c>
      <c r="BW73" s="8">
        <f t="shared" ref="BW73:BW105" si="127">BR73+BS73-BV73</f>
        <v>9.15</v>
      </c>
      <c r="BX73" s="8">
        <f t="shared" ref="BX73:BX105" si="128">BW73</f>
        <v>9.15</v>
      </c>
      <c r="BY73" s="9"/>
      <c r="BZ73" s="9"/>
      <c r="CA73" s="9"/>
      <c r="CB73" s="8">
        <f t="shared" ref="CB73:CB105" si="129">BZ73-CA73</f>
        <v>0</v>
      </c>
      <c r="CC73" s="8">
        <f t="shared" ref="CC73:CC105" si="130">BX73+BY73-CB73</f>
        <v>9.15</v>
      </c>
      <c r="CD73" s="8">
        <f t="shared" ref="CD73:CD105" si="131">CC73</f>
        <v>9.15</v>
      </c>
      <c r="CE73" s="9"/>
      <c r="CF73" s="9"/>
      <c r="CG73" s="9"/>
      <c r="CH73" s="8">
        <f t="shared" ref="CH73:CH105" si="132">CF73-CG73</f>
        <v>0</v>
      </c>
      <c r="CI73" s="8">
        <f t="shared" ref="CI73:CI105" si="133">CD73+CE73-CH73</f>
        <v>9.15</v>
      </c>
      <c r="CJ73" s="8">
        <f t="shared" ref="CJ73:CJ105" si="134">CI73</f>
        <v>9.15</v>
      </c>
      <c r="CK73" s="9"/>
      <c r="CL73" s="9"/>
      <c r="CM73" s="9"/>
      <c r="CN73" s="8">
        <f t="shared" ref="CN73:CN105" si="135">CL73-CM73</f>
        <v>0</v>
      </c>
      <c r="CO73" s="8">
        <f t="shared" ref="CO73:CO105" si="136">CJ73+CK73-CN73</f>
        <v>9.15</v>
      </c>
      <c r="CP73" s="8">
        <f t="shared" ref="CP73:CP105" si="137">CO73</f>
        <v>9.15</v>
      </c>
    </row>
    <row r="74" spans="1:94" x14ac:dyDescent="0.3">
      <c r="A74" s="6">
        <v>66</v>
      </c>
      <c r="B74" s="22" t="s">
        <v>330</v>
      </c>
      <c r="C74" s="20" t="s">
        <v>233</v>
      </c>
      <c r="D74" s="24" t="s">
        <v>362</v>
      </c>
      <c r="E74" s="16" t="s">
        <v>154</v>
      </c>
      <c r="F74" s="12" t="s">
        <v>371</v>
      </c>
      <c r="G74" s="12" t="s">
        <v>368</v>
      </c>
      <c r="H74" s="7" t="s">
        <v>70</v>
      </c>
      <c r="I74" s="8">
        <v>88.736999999999995</v>
      </c>
      <c r="J74" s="8">
        <v>88.736999999999995</v>
      </c>
      <c r="K74" s="9"/>
      <c r="L74" s="9"/>
      <c r="M74" s="9"/>
      <c r="N74" s="8">
        <f t="shared" si="97"/>
        <v>0</v>
      </c>
      <c r="O74" s="8">
        <f t="shared" ref="O74:O105" si="138">J74+K74-N74</f>
        <v>88.736999999999995</v>
      </c>
      <c r="P74" s="8">
        <f t="shared" si="98"/>
        <v>88.736999999999995</v>
      </c>
      <c r="Q74" s="9"/>
      <c r="R74" s="9"/>
      <c r="S74" s="9"/>
      <c r="T74" s="8">
        <f t="shared" si="99"/>
        <v>0</v>
      </c>
      <c r="U74" s="8">
        <f t="shared" si="100"/>
        <v>88.736999999999995</v>
      </c>
      <c r="V74" s="8">
        <f t="shared" si="101"/>
        <v>88.736999999999995</v>
      </c>
      <c r="W74" s="29"/>
      <c r="X74" s="29"/>
      <c r="Y74" s="29"/>
      <c r="Z74" s="8">
        <f t="shared" si="102"/>
        <v>0</v>
      </c>
      <c r="AA74" s="8">
        <f t="shared" si="103"/>
        <v>88.736999999999995</v>
      </c>
      <c r="AB74" s="8">
        <f t="shared" si="104"/>
        <v>88.736999999999995</v>
      </c>
      <c r="AC74" s="29"/>
      <c r="AD74" s="29"/>
      <c r="AE74" s="29"/>
      <c r="AF74" s="8">
        <f t="shared" si="105"/>
        <v>0</v>
      </c>
      <c r="AG74" s="8">
        <f t="shared" si="106"/>
        <v>88.736999999999995</v>
      </c>
      <c r="AH74" s="8">
        <f t="shared" si="107"/>
        <v>88.736999999999995</v>
      </c>
      <c r="AI74" s="29"/>
      <c r="AJ74" s="29"/>
      <c r="AK74" s="29"/>
      <c r="AL74" s="8">
        <f t="shared" si="108"/>
        <v>0</v>
      </c>
      <c r="AM74" s="8">
        <f t="shared" si="109"/>
        <v>88.736999999999995</v>
      </c>
      <c r="AN74" s="8">
        <f t="shared" si="110"/>
        <v>88.736999999999995</v>
      </c>
      <c r="AO74" s="9"/>
      <c r="AP74" s="9"/>
      <c r="AQ74" s="9"/>
      <c r="AR74" s="8">
        <f t="shared" si="111"/>
        <v>0</v>
      </c>
      <c r="AS74" s="8">
        <f t="shared" si="112"/>
        <v>88.736999999999995</v>
      </c>
      <c r="AT74" s="8">
        <f t="shared" si="113"/>
        <v>88.736999999999995</v>
      </c>
      <c r="AU74" s="9"/>
      <c r="AV74" s="9"/>
      <c r="AW74" s="9"/>
      <c r="AX74" s="8">
        <f t="shared" si="114"/>
        <v>0</v>
      </c>
      <c r="AY74" s="8">
        <f t="shared" si="115"/>
        <v>88.736999999999995</v>
      </c>
      <c r="AZ74" s="8">
        <f t="shared" si="116"/>
        <v>88.736999999999995</v>
      </c>
      <c r="BA74" s="9"/>
      <c r="BB74" s="9"/>
      <c r="BC74" s="9"/>
      <c r="BD74" s="8">
        <f t="shared" si="117"/>
        <v>0</v>
      </c>
      <c r="BE74" s="8">
        <f t="shared" si="118"/>
        <v>88.736999999999995</v>
      </c>
      <c r="BF74" s="8">
        <f t="shared" si="119"/>
        <v>88.736999999999995</v>
      </c>
      <c r="BG74" s="9"/>
      <c r="BH74" s="9"/>
      <c r="BI74" s="9"/>
      <c r="BJ74" s="8">
        <f t="shared" si="120"/>
        <v>0</v>
      </c>
      <c r="BK74" s="8">
        <f t="shared" si="121"/>
        <v>88.736999999999995</v>
      </c>
      <c r="BL74" s="8">
        <f t="shared" si="122"/>
        <v>88.736999999999995</v>
      </c>
      <c r="BM74" s="9"/>
      <c r="BN74" s="9"/>
      <c r="BO74" s="9"/>
      <c r="BP74" s="8">
        <f t="shared" si="123"/>
        <v>0</v>
      </c>
      <c r="BQ74" s="8">
        <f t="shared" si="124"/>
        <v>88.736999999999995</v>
      </c>
      <c r="BR74" s="8">
        <f t="shared" si="125"/>
        <v>88.736999999999995</v>
      </c>
      <c r="BS74" s="9"/>
      <c r="BT74" s="9"/>
      <c r="BU74" s="9"/>
      <c r="BV74" s="8">
        <f t="shared" si="126"/>
        <v>0</v>
      </c>
      <c r="BW74" s="8">
        <f t="shared" si="127"/>
        <v>88.736999999999995</v>
      </c>
      <c r="BX74" s="8">
        <f t="shared" si="128"/>
        <v>88.736999999999995</v>
      </c>
      <c r="BY74" s="9"/>
      <c r="BZ74" s="9"/>
      <c r="CA74" s="9"/>
      <c r="CB74" s="8">
        <f t="shared" si="129"/>
        <v>0</v>
      </c>
      <c r="CC74" s="8">
        <f t="shared" si="130"/>
        <v>88.736999999999995</v>
      </c>
      <c r="CD74" s="8">
        <f t="shared" si="131"/>
        <v>88.736999999999995</v>
      </c>
      <c r="CE74" s="9"/>
      <c r="CF74" s="9"/>
      <c r="CG74" s="9"/>
      <c r="CH74" s="8">
        <f t="shared" si="132"/>
        <v>0</v>
      </c>
      <c r="CI74" s="8">
        <f t="shared" si="133"/>
        <v>88.736999999999995</v>
      </c>
      <c r="CJ74" s="8">
        <f t="shared" si="134"/>
        <v>88.736999999999995</v>
      </c>
      <c r="CK74" s="9"/>
      <c r="CL74" s="9"/>
      <c r="CM74" s="9"/>
      <c r="CN74" s="8">
        <f t="shared" si="135"/>
        <v>0</v>
      </c>
      <c r="CO74" s="8">
        <f t="shared" si="136"/>
        <v>88.736999999999995</v>
      </c>
      <c r="CP74" s="8">
        <f t="shared" si="137"/>
        <v>88.736999999999995</v>
      </c>
    </row>
    <row r="75" spans="1:94" x14ac:dyDescent="0.3">
      <c r="A75" s="6">
        <v>67</v>
      </c>
      <c r="B75" s="22" t="s">
        <v>331</v>
      </c>
      <c r="C75" s="20" t="s">
        <v>234</v>
      </c>
      <c r="D75" s="24" t="s">
        <v>362</v>
      </c>
      <c r="E75" s="16" t="s">
        <v>105</v>
      </c>
      <c r="F75" s="12" t="s">
        <v>371</v>
      </c>
      <c r="G75" s="12" t="s">
        <v>367</v>
      </c>
      <c r="H75" s="7" t="s">
        <v>70</v>
      </c>
      <c r="I75" s="8">
        <v>117.81399999999999</v>
      </c>
      <c r="J75" s="8">
        <v>117.81399999999999</v>
      </c>
      <c r="K75" s="9"/>
      <c r="L75" s="9">
        <v>0.21</v>
      </c>
      <c r="M75" s="9">
        <v>0</v>
      </c>
      <c r="N75" s="8">
        <f t="shared" si="97"/>
        <v>0.21</v>
      </c>
      <c r="O75" s="8">
        <f t="shared" si="138"/>
        <v>117.604</v>
      </c>
      <c r="P75" s="8">
        <f t="shared" si="98"/>
        <v>117.604</v>
      </c>
      <c r="Q75" s="9"/>
      <c r="R75" s="9"/>
      <c r="S75" s="9"/>
      <c r="T75" s="8">
        <f t="shared" si="99"/>
        <v>0</v>
      </c>
      <c r="U75" s="8">
        <f t="shared" si="100"/>
        <v>117.604</v>
      </c>
      <c r="V75" s="8">
        <f t="shared" si="101"/>
        <v>117.604</v>
      </c>
      <c r="W75" s="29"/>
      <c r="X75" s="29"/>
      <c r="Y75" s="29"/>
      <c r="Z75" s="8">
        <f t="shared" si="102"/>
        <v>0</v>
      </c>
      <c r="AA75" s="8">
        <f t="shared" si="103"/>
        <v>117.604</v>
      </c>
      <c r="AB75" s="8">
        <f t="shared" si="104"/>
        <v>117.604</v>
      </c>
      <c r="AC75" s="29"/>
      <c r="AD75" s="29"/>
      <c r="AE75" s="29"/>
      <c r="AF75" s="8">
        <f t="shared" si="105"/>
        <v>0</v>
      </c>
      <c r="AG75" s="8">
        <f t="shared" si="106"/>
        <v>117.604</v>
      </c>
      <c r="AH75" s="8">
        <f t="shared" si="107"/>
        <v>117.604</v>
      </c>
      <c r="AI75" s="29"/>
      <c r="AJ75" s="29"/>
      <c r="AK75" s="29"/>
      <c r="AL75" s="8">
        <f t="shared" si="108"/>
        <v>0</v>
      </c>
      <c r="AM75" s="8">
        <f t="shared" si="109"/>
        <v>117.604</v>
      </c>
      <c r="AN75" s="8">
        <f t="shared" si="110"/>
        <v>117.604</v>
      </c>
      <c r="AO75" s="9"/>
      <c r="AP75" s="9"/>
      <c r="AQ75" s="9"/>
      <c r="AR75" s="8">
        <f t="shared" si="111"/>
        <v>0</v>
      </c>
      <c r="AS75" s="8">
        <f t="shared" si="112"/>
        <v>117.604</v>
      </c>
      <c r="AT75" s="8">
        <f t="shared" si="113"/>
        <v>117.604</v>
      </c>
      <c r="AU75" s="9"/>
      <c r="AV75" s="9"/>
      <c r="AW75" s="9"/>
      <c r="AX75" s="8">
        <f t="shared" si="114"/>
        <v>0</v>
      </c>
      <c r="AY75" s="8">
        <f t="shared" si="115"/>
        <v>117.604</v>
      </c>
      <c r="AZ75" s="8">
        <f t="shared" si="116"/>
        <v>117.604</v>
      </c>
      <c r="BA75" s="9"/>
      <c r="BB75" s="9"/>
      <c r="BC75" s="9"/>
      <c r="BD75" s="8">
        <f t="shared" si="117"/>
        <v>0</v>
      </c>
      <c r="BE75" s="8">
        <f t="shared" si="118"/>
        <v>117.604</v>
      </c>
      <c r="BF75" s="8">
        <f t="shared" si="119"/>
        <v>117.604</v>
      </c>
      <c r="BG75" s="9"/>
      <c r="BH75" s="9"/>
      <c r="BI75" s="9"/>
      <c r="BJ75" s="8">
        <f t="shared" si="120"/>
        <v>0</v>
      </c>
      <c r="BK75" s="8">
        <f t="shared" si="121"/>
        <v>117.604</v>
      </c>
      <c r="BL75" s="8">
        <f t="shared" si="122"/>
        <v>117.604</v>
      </c>
      <c r="BM75" s="9"/>
      <c r="BN75" s="9"/>
      <c r="BO75" s="9"/>
      <c r="BP75" s="8">
        <f t="shared" si="123"/>
        <v>0</v>
      </c>
      <c r="BQ75" s="8">
        <f t="shared" si="124"/>
        <v>117.604</v>
      </c>
      <c r="BR75" s="8">
        <f t="shared" si="125"/>
        <v>117.604</v>
      </c>
      <c r="BS75" s="9"/>
      <c r="BT75" s="9"/>
      <c r="BU75" s="9"/>
      <c r="BV75" s="8">
        <f t="shared" si="126"/>
        <v>0</v>
      </c>
      <c r="BW75" s="8">
        <f t="shared" si="127"/>
        <v>117.604</v>
      </c>
      <c r="BX75" s="8">
        <f t="shared" si="128"/>
        <v>117.604</v>
      </c>
      <c r="BY75" s="9"/>
      <c r="BZ75" s="9"/>
      <c r="CA75" s="9"/>
      <c r="CB75" s="8">
        <f t="shared" si="129"/>
        <v>0</v>
      </c>
      <c r="CC75" s="8">
        <f t="shared" si="130"/>
        <v>117.604</v>
      </c>
      <c r="CD75" s="8">
        <f t="shared" si="131"/>
        <v>117.604</v>
      </c>
      <c r="CE75" s="9"/>
      <c r="CF75" s="9"/>
      <c r="CG75" s="9"/>
      <c r="CH75" s="8">
        <f t="shared" si="132"/>
        <v>0</v>
      </c>
      <c r="CI75" s="8">
        <f t="shared" si="133"/>
        <v>117.604</v>
      </c>
      <c r="CJ75" s="8">
        <f t="shared" si="134"/>
        <v>117.604</v>
      </c>
      <c r="CK75" s="9"/>
      <c r="CL75" s="9">
        <v>0.438</v>
      </c>
      <c r="CM75" s="9">
        <v>0</v>
      </c>
      <c r="CN75" s="8">
        <f t="shared" si="135"/>
        <v>0.438</v>
      </c>
      <c r="CO75" s="8">
        <f t="shared" si="136"/>
        <v>117.166</v>
      </c>
      <c r="CP75" s="8">
        <f t="shared" si="137"/>
        <v>117.166</v>
      </c>
    </row>
    <row r="76" spans="1:94" x14ac:dyDescent="0.3">
      <c r="A76" s="6">
        <v>68</v>
      </c>
      <c r="B76" s="22" t="s">
        <v>332</v>
      </c>
      <c r="C76" s="20" t="s">
        <v>235</v>
      </c>
      <c r="D76" s="24" t="s">
        <v>362</v>
      </c>
      <c r="E76" s="16" t="s">
        <v>155</v>
      </c>
      <c r="F76" s="12" t="s">
        <v>371</v>
      </c>
      <c r="G76" s="12" t="s">
        <v>367</v>
      </c>
      <c r="H76" s="7" t="s">
        <v>70</v>
      </c>
      <c r="I76" s="8">
        <v>115.824</v>
      </c>
      <c r="J76" s="8">
        <v>115.824</v>
      </c>
      <c r="K76" s="9"/>
      <c r="L76" s="9">
        <v>0.47</v>
      </c>
      <c r="M76" s="9">
        <v>0</v>
      </c>
      <c r="N76" s="8">
        <f t="shared" si="97"/>
        <v>0.47</v>
      </c>
      <c r="O76" s="8">
        <f t="shared" si="138"/>
        <v>115.354</v>
      </c>
      <c r="P76" s="8">
        <f t="shared" si="98"/>
        <v>115.354</v>
      </c>
      <c r="Q76" s="9"/>
      <c r="R76" s="9"/>
      <c r="S76" s="9"/>
      <c r="T76" s="8">
        <f t="shared" si="99"/>
        <v>0</v>
      </c>
      <c r="U76" s="8">
        <f t="shared" si="100"/>
        <v>115.354</v>
      </c>
      <c r="V76" s="8">
        <f t="shared" si="101"/>
        <v>115.354</v>
      </c>
      <c r="W76" s="29"/>
      <c r="X76" s="29">
        <v>0</v>
      </c>
      <c r="Y76" s="29">
        <v>0</v>
      </c>
      <c r="Z76" s="8">
        <f t="shared" si="102"/>
        <v>0</v>
      </c>
      <c r="AA76" s="8">
        <f t="shared" si="103"/>
        <v>115.354</v>
      </c>
      <c r="AB76" s="8">
        <f t="shared" si="104"/>
        <v>115.354</v>
      </c>
      <c r="AC76" s="29"/>
      <c r="AD76" s="29">
        <v>0.21</v>
      </c>
      <c r="AE76" s="29">
        <v>0</v>
      </c>
      <c r="AF76" s="8">
        <f t="shared" si="105"/>
        <v>0.21</v>
      </c>
      <c r="AG76" s="8">
        <f t="shared" si="106"/>
        <v>115.14400000000001</v>
      </c>
      <c r="AH76" s="8">
        <f t="shared" si="107"/>
        <v>115.14400000000001</v>
      </c>
      <c r="AI76" s="29"/>
      <c r="AJ76" s="29">
        <v>0.18</v>
      </c>
      <c r="AK76" s="29">
        <v>0</v>
      </c>
      <c r="AL76" s="8">
        <f t="shared" si="108"/>
        <v>0.18</v>
      </c>
      <c r="AM76" s="8">
        <f t="shared" si="109"/>
        <v>114.964</v>
      </c>
      <c r="AN76" s="8">
        <f t="shared" si="110"/>
        <v>114.964</v>
      </c>
      <c r="AO76" s="9"/>
      <c r="AP76" s="9">
        <v>1.4E-2</v>
      </c>
      <c r="AQ76" s="9">
        <v>0</v>
      </c>
      <c r="AR76" s="8">
        <f t="shared" si="111"/>
        <v>1.4E-2</v>
      </c>
      <c r="AS76" s="8">
        <f t="shared" si="112"/>
        <v>114.95</v>
      </c>
      <c r="AT76" s="8">
        <f t="shared" si="113"/>
        <v>114.95</v>
      </c>
      <c r="AU76" s="9"/>
      <c r="AV76" s="9">
        <v>0.5</v>
      </c>
      <c r="AW76" s="9">
        <v>0</v>
      </c>
      <c r="AX76" s="8">
        <f t="shared" si="114"/>
        <v>0.5</v>
      </c>
      <c r="AY76" s="8">
        <f t="shared" si="115"/>
        <v>114.45</v>
      </c>
      <c r="AZ76" s="8">
        <f t="shared" si="116"/>
        <v>114.45</v>
      </c>
      <c r="BA76" s="9"/>
      <c r="BB76" s="9"/>
      <c r="BC76" s="9"/>
      <c r="BD76" s="8">
        <f t="shared" si="117"/>
        <v>0</v>
      </c>
      <c r="BE76" s="8">
        <f t="shared" si="118"/>
        <v>114.45</v>
      </c>
      <c r="BF76" s="8">
        <f t="shared" si="119"/>
        <v>114.45</v>
      </c>
      <c r="BG76" s="9"/>
      <c r="BH76" s="9"/>
      <c r="BI76" s="9"/>
      <c r="BJ76" s="8">
        <f t="shared" si="120"/>
        <v>0</v>
      </c>
      <c r="BK76" s="8">
        <f t="shared" si="121"/>
        <v>114.45</v>
      </c>
      <c r="BL76" s="8">
        <f t="shared" si="122"/>
        <v>114.45</v>
      </c>
      <c r="BM76" s="9"/>
      <c r="BN76" s="9">
        <v>0.6</v>
      </c>
      <c r="BO76" s="9">
        <v>0</v>
      </c>
      <c r="BP76" s="8">
        <f t="shared" si="123"/>
        <v>0.6</v>
      </c>
      <c r="BQ76" s="8">
        <f t="shared" si="124"/>
        <v>113.85000000000001</v>
      </c>
      <c r="BR76" s="8">
        <f t="shared" si="125"/>
        <v>113.85000000000001</v>
      </c>
      <c r="BS76" s="9"/>
      <c r="BT76" s="9">
        <v>0.04</v>
      </c>
      <c r="BU76" s="9">
        <v>0</v>
      </c>
      <c r="BV76" s="8">
        <f t="shared" si="126"/>
        <v>0.04</v>
      </c>
      <c r="BW76" s="8">
        <f t="shared" si="127"/>
        <v>113.81</v>
      </c>
      <c r="BX76" s="8">
        <f t="shared" si="128"/>
        <v>113.81</v>
      </c>
      <c r="BY76" s="9"/>
      <c r="BZ76" s="9">
        <v>0.02</v>
      </c>
      <c r="CA76" s="9">
        <v>0</v>
      </c>
      <c r="CB76" s="8">
        <f t="shared" si="129"/>
        <v>0.02</v>
      </c>
      <c r="CC76" s="8">
        <f t="shared" si="130"/>
        <v>113.79</v>
      </c>
      <c r="CD76" s="8">
        <f t="shared" si="131"/>
        <v>113.79</v>
      </c>
      <c r="CE76" s="9"/>
      <c r="CF76" s="9">
        <v>0.254</v>
      </c>
      <c r="CG76" s="9">
        <v>0</v>
      </c>
      <c r="CH76" s="8">
        <f t="shared" si="132"/>
        <v>0.254</v>
      </c>
      <c r="CI76" s="8">
        <f t="shared" si="133"/>
        <v>113.536</v>
      </c>
      <c r="CJ76" s="8">
        <f t="shared" si="134"/>
        <v>113.536</v>
      </c>
      <c r="CK76" s="9"/>
      <c r="CL76" s="9">
        <v>0.63800000000000001</v>
      </c>
      <c r="CM76" s="9">
        <v>0</v>
      </c>
      <c r="CN76" s="8">
        <f t="shared" si="135"/>
        <v>0.63800000000000001</v>
      </c>
      <c r="CO76" s="8">
        <f t="shared" si="136"/>
        <v>112.898</v>
      </c>
      <c r="CP76" s="8">
        <f t="shared" si="137"/>
        <v>112.898</v>
      </c>
    </row>
    <row r="77" spans="1:94" x14ac:dyDescent="0.3">
      <c r="A77" s="6">
        <v>69</v>
      </c>
      <c r="B77" s="22" t="s">
        <v>333</v>
      </c>
      <c r="C77" s="20" t="s">
        <v>236</v>
      </c>
      <c r="D77" s="24" t="s">
        <v>362</v>
      </c>
      <c r="E77" s="16" t="s">
        <v>156</v>
      </c>
      <c r="F77" s="12" t="s">
        <v>391</v>
      </c>
      <c r="G77" s="12" t="s">
        <v>85</v>
      </c>
      <c r="H77" s="7" t="s">
        <v>70</v>
      </c>
      <c r="I77" s="8">
        <v>270</v>
      </c>
      <c r="J77" s="8">
        <v>270</v>
      </c>
      <c r="K77" s="9"/>
      <c r="L77" s="9"/>
      <c r="M77" s="9"/>
      <c r="N77" s="8">
        <f t="shared" si="97"/>
        <v>0</v>
      </c>
      <c r="O77" s="8">
        <f t="shared" si="138"/>
        <v>270</v>
      </c>
      <c r="P77" s="8">
        <f t="shared" si="98"/>
        <v>270</v>
      </c>
      <c r="Q77" s="9"/>
      <c r="R77" s="9"/>
      <c r="S77" s="9"/>
      <c r="T77" s="8">
        <f t="shared" si="99"/>
        <v>0</v>
      </c>
      <c r="U77" s="8">
        <f t="shared" si="100"/>
        <v>270</v>
      </c>
      <c r="V77" s="8">
        <f t="shared" si="101"/>
        <v>270</v>
      </c>
      <c r="W77" s="29"/>
      <c r="X77" s="29"/>
      <c r="Y77" s="29"/>
      <c r="Z77" s="8">
        <f t="shared" si="102"/>
        <v>0</v>
      </c>
      <c r="AA77" s="8">
        <f t="shared" si="103"/>
        <v>270</v>
      </c>
      <c r="AB77" s="8">
        <f t="shared" si="104"/>
        <v>270</v>
      </c>
      <c r="AC77" s="29"/>
      <c r="AD77" s="29"/>
      <c r="AE77" s="29"/>
      <c r="AF77" s="8">
        <f t="shared" si="105"/>
        <v>0</v>
      </c>
      <c r="AG77" s="8">
        <f t="shared" si="106"/>
        <v>270</v>
      </c>
      <c r="AH77" s="8">
        <f t="shared" si="107"/>
        <v>270</v>
      </c>
      <c r="AI77" s="29"/>
      <c r="AJ77" s="29"/>
      <c r="AK77" s="29"/>
      <c r="AL77" s="8">
        <f t="shared" si="108"/>
        <v>0</v>
      </c>
      <c r="AM77" s="8">
        <f t="shared" si="109"/>
        <v>270</v>
      </c>
      <c r="AN77" s="8">
        <f t="shared" si="110"/>
        <v>270</v>
      </c>
      <c r="AO77" s="9"/>
      <c r="AP77" s="9"/>
      <c r="AQ77" s="9"/>
      <c r="AR77" s="8">
        <f t="shared" si="111"/>
        <v>0</v>
      </c>
      <c r="AS77" s="8">
        <f t="shared" si="112"/>
        <v>270</v>
      </c>
      <c r="AT77" s="8">
        <f t="shared" si="113"/>
        <v>270</v>
      </c>
      <c r="AU77" s="9"/>
      <c r="AV77" s="9"/>
      <c r="AW77" s="9"/>
      <c r="AX77" s="8">
        <f t="shared" si="114"/>
        <v>0</v>
      </c>
      <c r="AY77" s="8">
        <f t="shared" si="115"/>
        <v>270</v>
      </c>
      <c r="AZ77" s="8">
        <f t="shared" si="116"/>
        <v>270</v>
      </c>
      <c r="BA77" s="9"/>
      <c r="BB77" s="9"/>
      <c r="BC77" s="9"/>
      <c r="BD77" s="8">
        <f t="shared" si="117"/>
        <v>0</v>
      </c>
      <c r="BE77" s="8">
        <f t="shared" si="118"/>
        <v>270</v>
      </c>
      <c r="BF77" s="8">
        <f t="shared" si="119"/>
        <v>270</v>
      </c>
      <c r="BG77" s="9"/>
      <c r="BH77" s="9"/>
      <c r="BI77" s="9"/>
      <c r="BJ77" s="8">
        <f t="shared" si="120"/>
        <v>0</v>
      </c>
      <c r="BK77" s="8">
        <f t="shared" si="121"/>
        <v>270</v>
      </c>
      <c r="BL77" s="8">
        <f t="shared" si="122"/>
        <v>270</v>
      </c>
      <c r="BM77" s="9"/>
      <c r="BN77" s="9"/>
      <c r="BO77" s="9"/>
      <c r="BP77" s="8">
        <f t="shared" si="123"/>
        <v>0</v>
      </c>
      <c r="BQ77" s="8">
        <f t="shared" si="124"/>
        <v>270</v>
      </c>
      <c r="BR77" s="8">
        <f t="shared" si="125"/>
        <v>270</v>
      </c>
      <c r="BS77" s="9"/>
      <c r="BT77" s="9"/>
      <c r="BU77" s="9"/>
      <c r="BV77" s="8">
        <f t="shared" si="126"/>
        <v>0</v>
      </c>
      <c r="BW77" s="8">
        <f t="shared" si="127"/>
        <v>270</v>
      </c>
      <c r="BX77" s="8">
        <f t="shared" si="128"/>
        <v>270</v>
      </c>
      <c r="BY77" s="9"/>
      <c r="BZ77" s="9"/>
      <c r="CA77" s="9"/>
      <c r="CB77" s="8">
        <f t="shared" si="129"/>
        <v>0</v>
      </c>
      <c r="CC77" s="8">
        <f t="shared" si="130"/>
        <v>270</v>
      </c>
      <c r="CD77" s="8">
        <f t="shared" si="131"/>
        <v>270</v>
      </c>
      <c r="CE77" s="9"/>
      <c r="CF77" s="9"/>
      <c r="CG77" s="9"/>
      <c r="CH77" s="8">
        <f t="shared" si="132"/>
        <v>0</v>
      </c>
      <c r="CI77" s="8">
        <f t="shared" si="133"/>
        <v>270</v>
      </c>
      <c r="CJ77" s="8">
        <f t="shared" si="134"/>
        <v>270</v>
      </c>
      <c r="CK77" s="9"/>
      <c r="CL77" s="9"/>
      <c r="CM77" s="9"/>
      <c r="CN77" s="8">
        <f t="shared" si="135"/>
        <v>0</v>
      </c>
      <c r="CO77" s="8">
        <f t="shared" si="136"/>
        <v>270</v>
      </c>
      <c r="CP77" s="8">
        <f t="shared" si="137"/>
        <v>270</v>
      </c>
    </row>
    <row r="78" spans="1:94" x14ac:dyDescent="0.3">
      <c r="A78" s="6">
        <v>70</v>
      </c>
      <c r="B78" s="22" t="s">
        <v>334</v>
      </c>
      <c r="C78" s="20" t="s">
        <v>237</v>
      </c>
      <c r="D78" s="24" t="s">
        <v>362</v>
      </c>
      <c r="E78" s="16" t="s">
        <v>157</v>
      </c>
      <c r="F78" s="12" t="s">
        <v>376</v>
      </c>
      <c r="G78" s="12" t="s">
        <v>72</v>
      </c>
      <c r="H78" s="7" t="s">
        <v>70</v>
      </c>
      <c r="I78" s="8">
        <v>210</v>
      </c>
      <c r="J78" s="8">
        <v>210</v>
      </c>
      <c r="K78" s="9"/>
      <c r="L78" s="9"/>
      <c r="M78" s="9"/>
      <c r="N78" s="8">
        <f t="shared" si="97"/>
        <v>0</v>
      </c>
      <c r="O78" s="8">
        <f t="shared" si="138"/>
        <v>210</v>
      </c>
      <c r="P78" s="8">
        <f t="shared" si="98"/>
        <v>210</v>
      </c>
      <c r="Q78" s="9"/>
      <c r="R78" s="9"/>
      <c r="S78" s="9"/>
      <c r="T78" s="8">
        <f t="shared" si="99"/>
        <v>0</v>
      </c>
      <c r="U78" s="8">
        <f t="shared" si="100"/>
        <v>210</v>
      </c>
      <c r="V78" s="8">
        <f t="shared" si="101"/>
        <v>210</v>
      </c>
      <c r="W78" s="29"/>
      <c r="X78" s="29"/>
      <c r="Y78" s="29"/>
      <c r="Z78" s="8">
        <f t="shared" si="102"/>
        <v>0</v>
      </c>
      <c r="AA78" s="8">
        <f t="shared" si="103"/>
        <v>210</v>
      </c>
      <c r="AB78" s="8">
        <f t="shared" si="104"/>
        <v>210</v>
      </c>
      <c r="AC78" s="29"/>
      <c r="AD78" s="29"/>
      <c r="AE78" s="29"/>
      <c r="AF78" s="8">
        <f t="shared" si="105"/>
        <v>0</v>
      </c>
      <c r="AG78" s="8">
        <f t="shared" si="106"/>
        <v>210</v>
      </c>
      <c r="AH78" s="8">
        <f t="shared" si="107"/>
        <v>210</v>
      </c>
      <c r="AI78" s="29"/>
      <c r="AJ78" s="29"/>
      <c r="AK78" s="29"/>
      <c r="AL78" s="8">
        <f t="shared" si="108"/>
        <v>0</v>
      </c>
      <c r="AM78" s="8">
        <f t="shared" si="109"/>
        <v>210</v>
      </c>
      <c r="AN78" s="8">
        <f t="shared" si="110"/>
        <v>210</v>
      </c>
      <c r="AO78" s="9"/>
      <c r="AP78" s="9"/>
      <c r="AQ78" s="9"/>
      <c r="AR78" s="8">
        <f t="shared" si="111"/>
        <v>0</v>
      </c>
      <c r="AS78" s="8">
        <f t="shared" si="112"/>
        <v>210</v>
      </c>
      <c r="AT78" s="8">
        <f t="shared" si="113"/>
        <v>210</v>
      </c>
      <c r="AU78" s="9"/>
      <c r="AV78" s="9"/>
      <c r="AW78" s="9"/>
      <c r="AX78" s="8">
        <f t="shared" si="114"/>
        <v>0</v>
      </c>
      <c r="AY78" s="8">
        <f t="shared" si="115"/>
        <v>210</v>
      </c>
      <c r="AZ78" s="8">
        <f t="shared" si="116"/>
        <v>210</v>
      </c>
      <c r="BA78" s="9"/>
      <c r="BB78" s="9"/>
      <c r="BC78" s="9"/>
      <c r="BD78" s="8">
        <f t="shared" si="117"/>
        <v>0</v>
      </c>
      <c r="BE78" s="8">
        <f t="shared" si="118"/>
        <v>210</v>
      </c>
      <c r="BF78" s="8">
        <f t="shared" si="119"/>
        <v>210</v>
      </c>
      <c r="BG78" s="9"/>
      <c r="BH78" s="9"/>
      <c r="BI78" s="9"/>
      <c r="BJ78" s="8">
        <f t="shared" si="120"/>
        <v>0</v>
      </c>
      <c r="BK78" s="8">
        <f t="shared" si="121"/>
        <v>210</v>
      </c>
      <c r="BL78" s="8">
        <f t="shared" si="122"/>
        <v>210</v>
      </c>
      <c r="BM78" s="9"/>
      <c r="BN78" s="9"/>
      <c r="BO78" s="9"/>
      <c r="BP78" s="8">
        <f t="shared" si="123"/>
        <v>0</v>
      </c>
      <c r="BQ78" s="8">
        <f t="shared" si="124"/>
        <v>210</v>
      </c>
      <c r="BR78" s="8">
        <f t="shared" si="125"/>
        <v>210</v>
      </c>
      <c r="BS78" s="9"/>
      <c r="BT78" s="9"/>
      <c r="BU78" s="9"/>
      <c r="BV78" s="8">
        <f t="shared" si="126"/>
        <v>0</v>
      </c>
      <c r="BW78" s="8">
        <f t="shared" si="127"/>
        <v>210</v>
      </c>
      <c r="BX78" s="8">
        <f t="shared" si="128"/>
        <v>210</v>
      </c>
      <c r="BY78" s="9"/>
      <c r="BZ78" s="9"/>
      <c r="CA78" s="9"/>
      <c r="CB78" s="8">
        <f t="shared" si="129"/>
        <v>0</v>
      </c>
      <c r="CC78" s="8">
        <f t="shared" si="130"/>
        <v>210</v>
      </c>
      <c r="CD78" s="8">
        <f t="shared" si="131"/>
        <v>210</v>
      </c>
      <c r="CE78" s="9"/>
      <c r="CF78" s="9"/>
      <c r="CG78" s="9"/>
      <c r="CH78" s="8">
        <f t="shared" si="132"/>
        <v>0</v>
      </c>
      <c r="CI78" s="8">
        <f t="shared" si="133"/>
        <v>210</v>
      </c>
      <c r="CJ78" s="8">
        <f t="shared" si="134"/>
        <v>210</v>
      </c>
      <c r="CK78" s="9"/>
      <c r="CL78" s="9"/>
      <c r="CM78" s="9"/>
      <c r="CN78" s="8">
        <f t="shared" si="135"/>
        <v>0</v>
      </c>
      <c r="CO78" s="8">
        <f t="shared" si="136"/>
        <v>210</v>
      </c>
      <c r="CP78" s="8">
        <f t="shared" si="137"/>
        <v>210</v>
      </c>
    </row>
    <row r="79" spans="1:94" x14ac:dyDescent="0.3">
      <c r="A79" s="6">
        <v>71</v>
      </c>
      <c r="B79" s="22" t="s">
        <v>335</v>
      </c>
      <c r="C79" s="20" t="s">
        <v>238</v>
      </c>
      <c r="D79" s="24" t="s">
        <v>362</v>
      </c>
      <c r="E79" s="16" t="s">
        <v>158</v>
      </c>
      <c r="F79" s="12" t="s">
        <v>367</v>
      </c>
      <c r="G79" s="12" t="s">
        <v>367</v>
      </c>
      <c r="H79" s="7" t="s">
        <v>70</v>
      </c>
      <c r="I79" s="8">
        <v>60</v>
      </c>
      <c r="J79" s="8">
        <v>60</v>
      </c>
      <c r="K79" s="9"/>
      <c r="L79" s="9"/>
      <c r="M79" s="9"/>
      <c r="N79" s="8">
        <f t="shared" si="97"/>
        <v>0</v>
      </c>
      <c r="O79" s="8">
        <f t="shared" si="138"/>
        <v>60</v>
      </c>
      <c r="P79" s="8">
        <f t="shared" si="98"/>
        <v>60</v>
      </c>
      <c r="Q79" s="9"/>
      <c r="R79" s="9"/>
      <c r="S79" s="9"/>
      <c r="T79" s="8">
        <f t="shared" si="99"/>
        <v>0</v>
      </c>
      <c r="U79" s="8">
        <f t="shared" si="100"/>
        <v>60</v>
      </c>
      <c r="V79" s="8">
        <f t="shared" si="101"/>
        <v>60</v>
      </c>
      <c r="W79" s="29"/>
      <c r="X79" s="29"/>
      <c r="Y79" s="29"/>
      <c r="Z79" s="8">
        <f t="shared" si="102"/>
        <v>0</v>
      </c>
      <c r="AA79" s="8">
        <f t="shared" si="103"/>
        <v>60</v>
      </c>
      <c r="AB79" s="8">
        <f t="shared" si="104"/>
        <v>60</v>
      </c>
      <c r="AC79" s="29"/>
      <c r="AD79" s="29"/>
      <c r="AE79" s="29"/>
      <c r="AF79" s="8">
        <f t="shared" si="105"/>
        <v>0</v>
      </c>
      <c r="AG79" s="8">
        <f t="shared" si="106"/>
        <v>60</v>
      </c>
      <c r="AH79" s="8">
        <f t="shared" si="107"/>
        <v>60</v>
      </c>
      <c r="AI79" s="29"/>
      <c r="AJ79" s="29"/>
      <c r="AK79" s="29"/>
      <c r="AL79" s="8">
        <f t="shared" si="108"/>
        <v>0</v>
      </c>
      <c r="AM79" s="8">
        <f t="shared" si="109"/>
        <v>60</v>
      </c>
      <c r="AN79" s="8">
        <f t="shared" si="110"/>
        <v>60</v>
      </c>
      <c r="AO79" s="9"/>
      <c r="AP79" s="9"/>
      <c r="AQ79" s="9"/>
      <c r="AR79" s="8">
        <f t="shared" si="111"/>
        <v>0</v>
      </c>
      <c r="AS79" s="8">
        <f t="shared" si="112"/>
        <v>60</v>
      </c>
      <c r="AT79" s="8">
        <f t="shared" si="113"/>
        <v>60</v>
      </c>
      <c r="AU79" s="9"/>
      <c r="AV79" s="9"/>
      <c r="AW79" s="9"/>
      <c r="AX79" s="8">
        <f t="shared" si="114"/>
        <v>0</v>
      </c>
      <c r="AY79" s="8">
        <f t="shared" si="115"/>
        <v>60</v>
      </c>
      <c r="AZ79" s="8">
        <f t="shared" si="116"/>
        <v>60</v>
      </c>
      <c r="BA79" s="9"/>
      <c r="BB79" s="9"/>
      <c r="BC79" s="9"/>
      <c r="BD79" s="8">
        <f t="shared" si="117"/>
        <v>0</v>
      </c>
      <c r="BE79" s="8">
        <f t="shared" si="118"/>
        <v>60</v>
      </c>
      <c r="BF79" s="8">
        <f t="shared" si="119"/>
        <v>60</v>
      </c>
      <c r="BG79" s="9"/>
      <c r="BH79" s="9"/>
      <c r="BI79" s="9"/>
      <c r="BJ79" s="8">
        <f t="shared" si="120"/>
        <v>0</v>
      </c>
      <c r="BK79" s="8">
        <f t="shared" si="121"/>
        <v>60</v>
      </c>
      <c r="BL79" s="8">
        <f t="shared" si="122"/>
        <v>60</v>
      </c>
      <c r="BM79" s="9"/>
      <c r="BN79" s="9"/>
      <c r="BO79" s="9"/>
      <c r="BP79" s="8">
        <f t="shared" si="123"/>
        <v>0</v>
      </c>
      <c r="BQ79" s="8">
        <f t="shared" si="124"/>
        <v>60</v>
      </c>
      <c r="BR79" s="8">
        <f t="shared" si="125"/>
        <v>60</v>
      </c>
      <c r="BS79" s="9"/>
      <c r="BT79" s="9"/>
      <c r="BU79" s="9"/>
      <c r="BV79" s="8">
        <f t="shared" si="126"/>
        <v>0</v>
      </c>
      <c r="BW79" s="8">
        <f t="shared" si="127"/>
        <v>60</v>
      </c>
      <c r="BX79" s="8">
        <f t="shared" si="128"/>
        <v>60</v>
      </c>
      <c r="BY79" s="9"/>
      <c r="BZ79" s="9"/>
      <c r="CA79" s="9"/>
      <c r="CB79" s="8">
        <f t="shared" si="129"/>
        <v>0</v>
      </c>
      <c r="CC79" s="8">
        <f t="shared" si="130"/>
        <v>60</v>
      </c>
      <c r="CD79" s="8">
        <f t="shared" si="131"/>
        <v>60</v>
      </c>
      <c r="CE79" s="9"/>
      <c r="CF79" s="9"/>
      <c r="CG79" s="9"/>
      <c r="CH79" s="8">
        <f t="shared" si="132"/>
        <v>0</v>
      </c>
      <c r="CI79" s="8">
        <f t="shared" si="133"/>
        <v>60</v>
      </c>
      <c r="CJ79" s="8">
        <f t="shared" si="134"/>
        <v>60</v>
      </c>
      <c r="CK79" s="9"/>
      <c r="CL79" s="9"/>
      <c r="CM79" s="9"/>
      <c r="CN79" s="8">
        <f t="shared" si="135"/>
        <v>0</v>
      </c>
      <c r="CO79" s="8">
        <f t="shared" si="136"/>
        <v>60</v>
      </c>
      <c r="CP79" s="8">
        <f t="shared" si="137"/>
        <v>60</v>
      </c>
    </row>
    <row r="80" spans="1:94" x14ac:dyDescent="0.3">
      <c r="A80" s="6">
        <v>72</v>
      </c>
      <c r="B80" s="22" t="s">
        <v>336</v>
      </c>
      <c r="C80" s="20" t="s">
        <v>239</v>
      </c>
      <c r="D80" s="24" t="s">
        <v>362</v>
      </c>
      <c r="E80" s="16" t="s">
        <v>159</v>
      </c>
      <c r="F80" s="12" t="s">
        <v>392</v>
      </c>
      <c r="G80" s="12" t="s">
        <v>86</v>
      </c>
      <c r="H80" s="7" t="s">
        <v>70</v>
      </c>
      <c r="I80" s="8">
        <v>90</v>
      </c>
      <c r="J80" s="8">
        <v>90</v>
      </c>
      <c r="K80" s="9"/>
      <c r="L80" s="9"/>
      <c r="M80" s="9"/>
      <c r="N80" s="8">
        <f t="shared" si="97"/>
        <v>0</v>
      </c>
      <c r="O80" s="8">
        <f t="shared" si="138"/>
        <v>90</v>
      </c>
      <c r="P80" s="8">
        <f t="shared" si="98"/>
        <v>90</v>
      </c>
      <c r="Q80" s="9"/>
      <c r="R80" s="9"/>
      <c r="S80" s="9"/>
      <c r="T80" s="8">
        <f t="shared" si="99"/>
        <v>0</v>
      </c>
      <c r="U80" s="8">
        <f t="shared" si="100"/>
        <v>90</v>
      </c>
      <c r="V80" s="8">
        <f t="shared" si="101"/>
        <v>90</v>
      </c>
      <c r="W80" s="29"/>
      <c r="X80" s="29"/>
      <c r="Y80" s="29"/>
      <c r="Z80" s="8">
        <f t="shared" si="102"/>
        <v>0</v>
      </c>
      <c r="AA80" s="8">
        <f t="shared" si="103"/>
        <v>90</v>
      </c>
      <c r="AB80" s="8">
        <f t="shared" si="104"/>
        <v>90</v>
      </c>
      <c r="AC80" s="29"/>
      <c r="AD80" s="29"/>
      <c r="AE80" s="29"/>
      <c r="AF80" s="8">
        <f t="shared" si="105"/>
        <v>0</v>
      </c>
      <c r="AG80" s="8">
        <f t="shared" si="106"/>
        <v>90</v>
      </c>
      <c r="AH80" s="8">
        <f t="shared" si="107"/>
        <v>90</v>
      </c>
      <c r="AI80" s="29"/>
      <c r="AJ80" s="29">
        <v>30</v>
      </c>
      <c r="AK80" s="29">
        <v>0</v>
      </c>
      <c r="AL80" s="8">
        <f t="shared" si="108"/>
        <v>30</v>
      </c>
      <c r="AM80" s="8">
        <f t="shared" si="109"/>
        <v>60</v>
      </c>
      <c r="AN80" s="8">
        <f t="shared" si="110"/>
        <v>60</v>
      </c>
      <c r="AO80" s="9"/>
      <c r="AP80" s="9"/>
      <c r="AQ80" s="9"/>
      <c r="AR80" s="8">
        <f t="shared" si="111"/>
        <v>0</v>
      </c>
      <c r="AS80" s="8">
        <f t="shared" si="112"/>
        <v>60</v>
      </c>
      <c r="AT80" s="8">
        <f t="shared" si="113"/>
        <v>60</v>
      </c>
      <c r="AU80" s="9"/>
      <c r="AV80" s="9"/>
      <c r="AW80" s="9"/>
      <c r="AX80" s="8">
        <f t="shared" si="114"/>
        <v>0</v>
      </c>
      <c r="AY80" s="8">
        <f t="shared" si="115"/>
        <v>60</v>
      </c>
      <c r="AZ80" s="8">
        <f t="shared" si="116"/>
        <v>60</v>
      </c>
      <c r="BA80" s="9"/>
      <c r="BB80" s="9"/>
      <c r="BC80" s="9"/>
      <c r="BD80" s="8">
        <f t="shared" si="117"/>
        <v>0</v>
      </c>
      <c r="BE80" s="8">
        <f t="shared" si="118"/>
        <v>60</v>
      </c>
      <c r="BF80" s="8">
        <f t="shared" si="119"/>
        <v>60</v>
      </c>
      <c r="BG80" s="9"/>
      <c r="BH80" s="9"/>
      <c r="BI80" s="9"/>
      <c r="BJ80" s="8">
        <f t="shared" si="120"/>
        <v>0</v>
      </c>
      <c r="BK80" s="8">
        <f t="shared" si="121"/>
        <v>60</v>
      </c>
      <c r="BL80" s="8">
        <f t="shared" si="122"/>
        <v>60</v>
      </c>
      <c r="BM80" s="9"/>
      <c r="BN80" s="9"/>
      <c r="BO80" s="9"/>
      <c r="BP80" s="8">
        <f t="shared" si="123"/>
        <v>0</v>
      </c>
      <c r="BQ80" s="8">
        <f t="shared" si="124"/>
        <v>60</v>
      </c>
      <c r="BR80" s="8">
        <f t="shared" si="125"/>
        <v>60</v>
      </c>
      <c r="BS80" s="9"/>
      <c r="BT80" s="9"/>
      <c r="BU80" s="9"/>
      <c r="BV80" s="8">
        <f t="shared" si="126"/>
        <v>0</v>
      </c>
      <c r="BW80" s="8">
        <f t="shared" si="127"/>
        <v>60</v>
      </c>
      <c r="BX80" s="8">
        <f t="shared" si="128"/>
        <v>60</v>
      </c>
      <c r="BY80" s="9"/>
      <c r="BZ80" s="9"/>
      <c r="CA80" s="9"/>
      <c r="CB80" s="8">
        <f t="shared" si="129"/>
        <v>0</v>
      </c>
      <c r="CC80" s="8">
        <f t="shared" si="130"/>
        <v>60</v>
      </c>
      <c r="CD80" s="8">
        <f t="shared" si="131"/>
        <v>60</v>
      </c>
      <c r="CE80" s="9"/>
      <c r="CF80" s="9"/>
      <c r="CG80" s="9"/>
      <c r="CH80" s="8">
        <f t="shared" si="132"/>
        <v>0</v>
      </c>
      <c r="CI80" s="8">
        <f t="shared" si="133"/>
        <v>60</v>
      </c>
      <c r="CJ80" s="8">
        <f t="shared" si="134"/>
        <v>60</v>
      </c>
      <c r="CK80" s="9"/>
      <c r="CL80" s="9"/>
      <c r="CM80" s="9"/>
      <c r="CN80" s="8">
        <f t="shared" si="135"/>
        <v>0</v>
      </c>
      <c r="CO80" s="8">
        <f t="shared" si="136"/>
        <v>60</v>
      </c>
      <c r="CP80" s="8">
        <f t="shared" si="137"/>
        <v>60</v>
      </c>
    </row>
    <row r="81" spans="1:94" x14ac:dyDescent="0.3">
      <c r="A81" s="6">
        <v>73</v>
      </c>
      <c r="B81" s="22" t="s">
        <v>337</v>
      </c>
      <c r="C81" s="20" t="s">
        <v>240</v>
      </c>
      <c r="D81" s="24" t="s">
        <v>362</v>
      </c>
      <c r="E81" s="16" t="s">
        <v>160</v>
      </c>
      <c r="F81" s="12" t="s">
        <v>393</v>
      </c>
      <c r="G81" s="12" t="s">
        <v>87</v>
      </c>
      <c r="H81" s="7" t="s">
        <v>70</v>
      </c>
      <c r="I81" s="8">
        <v>50</v>
      </c>
      <c r="J81" s="8">
        <v>50</v>
      </c>
      <c r="K81" s="9"/>
      <c r="L81" s="9"/>
      <c r="M81" s="9"/>
      <c r="N81" s="8">
        <f t="shared" si="97"/>
        <v>0</v>
      </c>
      <c r="O81" s="8">
        <f t="shared" si="138"/>
        <v>50</v>
      </c>
      <c r="P81" s="8">
        <f t="shared" si="98"/>
        <v>50</v>
      </c>
      <c r="Q81" s="9"/>
      <c r="R81" s="9"/>
      <c r="S81" s="9"/>
      <c r="T81" s="8">
        <f t="shared" si="99"/>
        <v>0</v>
      </c>
      <c r="U81" s="8">
        <f t="shared" si="100"/>
        <v>50</v>
      </c>
      <c r="V81" s="8">
        <f t="shared" si="101"/>
        <v>50</v>
      </c>
      <c r="W81" s="29"/>
      <c r="X81" s="29"/>
      <c r="Y81" s="29"/>
      <c r="Z81" s="8">
        <f t="shared" si="102"/>
        <v>0</v>
      </c>
      <c r="AA81" s="8">
        <f t="shared" si="103"/>
        <v>50</v>
      </c>
      <c r="AB81" s="8">
        <f t="shared" si="104"/>
        <v>50</v>
      </c>
      <c r="AC81" s="29"/>
      <c r="AD81" s="29"/>
      <c r="AE81" s="29"/>
      <c r="AF81" s="8">
        <f t="shared" si="105"/>
        <v>0</v>
      </c>
      <c r="AG81" s="8">
        <f t="shared" si="106"/>
        <v>50</v>
      </c>
      <c r="AH81" s="8">
        <f t="shared" si="107"/>
        <v>50</v>
      </c>
      <c r="AI81" s="29"/>
      <c r="AJ81" s="29"/>
      <c r="AK81" s="29"/>
      <c r="AL81" s="8">
        <f t="shared" si="108"/>
        <v>0</v>
      </c>
      <c r="AM81" s="8">
        <f t="shared" si="109"/>
        <v>50</v>
      </c>
      <c r="AN81" s="8">
        <f t="shared" si="110"/>
        <v>50</v>
      </c>
      <c r="AO81" s="9"/>
      <c r="AP81" s="9"/>
      <c r="AQ81" s="9"/>
      <c r="AR81" s="8">
        <f t="shared" si="111"/>
        <v>0</v>
      </c>
      <c r="AS81" s="8">
        <f t="shared" si="112"/>
        <v>50</v>
      </c>
      <c r="AT81" s="8">
        <f t="shared" si="113"/>
        <v>50</v>
      </c>
      <c r="AU81" s="9"/>
      <c r="AV81" s="9"/>
      <c r="AW81" s="9"/>
      <c r="AX81" s="8">
        <f t="shared" si="114"/>
        <v>0</v>
      </c>
      <c r="AY81" s="8">
        <f t="shared" si="115"/>
        <v>50</v>
      </c>
      <c r="AZ81" s="8">
        <f t="shared" si="116"/>
        <v>50</v>
      </c>
      <c r="BA81" s="9"/>
      <c r="BB81" s="9"/>
      <c r="BC81" s="9"/>
      <c r="BD81" s="8">
        <f t="shared" si="117"/>
        <v>0</v>
      </c>
      <c r="BE81" s="8">
        <f t="shared" si="118"/>
        <v>50</v>
      </c>
      <c r="BF81" s="8">
        <f t="shared" si="119"/>
        <v>50</v>
      </c>
      <c r="BG81" s="9"/>
      <c r="BH81" s="9"/>
      <c r="BI81" s="9"/>
      <c r="BJ81" s="8">
        <f t="shared" si="120"/>
        <v>0</v>
      </c>
      <c r="BK81" s="8">
        <f t="shared" si="121"/>
        <v>50</v>
      </c>
      <c r="BL81" s="8">
        <f t="shared" si="122"/>
        <v>50</v>
      </c>
      <c r="BM81" s="9"/>
      <c r="BN81" s="9"/>
      <c r="BO81" s="9"/>
      <c r="BP81" s="8">
        <f t="shared" si="123"/>
        <v>0</v>
      </c>
      <c r="BQ81" s="8">
        <f t="shared" si="124"/>
        <v>50</v>
      </c>
      <c r="BR81" s="8">
        <f t="shared" si="125"/>
        <v>50</v>
      </c>
      <c r="BS81" s="9"/>
      <c r="BT81" s="9"/>
      <c r="BU81" s="9"/>
      <c r="BV81" s="8">
        <f t="shared" si="126"/>
        <v>0</v>
      </c>
      <c r="BW81" s="8">
        <f t="shared" si="127"/>
        <v>50</v>
      </c>
      <c r="BX81" s="8">
        <f t="shared" si="128"/>
        <v>50</v>
      </c>
      <c r="BY81" s="9"/>
      <c r="BZ81" s="9"/>
      <c r="CA81" s="9"/>
      <c r="CB81" s="8">
        <f t="shared" si="129"/>
        <v>0</v>
      </c>
      <c r="CC81" s="8">
        <f t="shared" si="130"/>
        <v>50</v>
      </c>
      <c r="CD81" s="8">
        <f t="shared" si="131"/>
        <v>50</v>
      </c>
      <c r="CE81" s="9"/>
      <c r="CF81" s="9"/>
      <c r="CG81" s="9"/>
      <c r="CH81" s="8">
        <f t="shared" si="132"/>
        <v>0</v>
      </c>
      <c r="CI81" s="8">
        <f t="shared" si="133"/>
        <v>50</v>
      </c>
      <c r="CJ81" s="8">
        <f t="shared" si="134"/>
        <v>50</v>
      </c>
      <c r="CK81" s="9"/>
      <c r="CL81" s="9"/>
      <c r="CM81" s="9"/>
      <c r="CN81" s="8">
        <f t="shared" si="135"/>
        <v>0</v>
      </c>
      <c r="CO81" s="8">
        <f t="shared" si="136"/>
        <v>50</v>
      </c>
      <c r="CP81" s="8">
        <f t="shared" si="137"/>
        <v>50</v>
      </c>
    </row>
    <row r="82" spans="1:94" x14ac:dyDescent="0.3">
      <c r="A82" s="6">
        <v>74</v>
      </c>
      <c r="B82" s="22" t="s">
        <v>338</v>
      </c>
      <c r="C82" s="20" t="s">
        <v>241</v>
      </c>
      <c r="D82" s="24" t="s">
        <v>362</v>
      </c>
      <c r="E82" s="16" t="s">
        <v>161</v>
      </c>
      <c r="F82" s="12" t="s">
        <v>394</v>
      </c>
      <c r="G82" s="12" t="s">
        <v>369</v>
      </c>
      <c r="H82" s="7" t="s">
        <v>70</v>
      </c>
      <c r="I82" s="8">
        <v>1950</v>
      </c>
      <c r="J82" s="8">
        <v>1950</v>
      </c>
      <c r="K82" s="8"/>
      <c r="L82" s="9"/>
      <c r="M82" s="9"/>
      <c r="N82" s="8">
        <f t="shared" si="97"/>
        <v>0</v>
      </c>
      <c r="O82" s="8">
        <f t="shared" si="138"/>
        <v>1950</v>
      </c>
      <c r="P82" s="8">
        <f t="shared" si="98"/>
        <v>1950</v>
      </c>
      <c r="Q82" s="9"/>
      <c r="R82" s="9"/>
      <c r="S82" s="9"/>
      <c r="T82" s="8">
        <f t="shared" si="99"/>
        <v>0</v>
      </c>
      <c r="U82" s="8">
        <f t="shared" si="100"/>
        <v>1950</v>
      </c>
      <c r="V82" s="8">
        <f t="shared" si="101"/>
        <v>1950</v>
      </c>
      <c r="W82" s="29"/>
      <c r="X82" s="29"/>
      <c r="Y82" s="29"/>
      <c r="Z82" s="8">
        <f t="shared" si="102"/>
        <v>0</v>
      </c>
      <c r="AA82" s="8">
        <f t="shared" si="103"/>
        <v>1950</v>
      </c>
      <c r="AB82" s="8">
        <f t="shared" si="104"/>
        <v>1950</v>
      </c>
      <c r="AC82" s="29"/>
      <c r="AD82" s="29">
        <v>60</v>
      </c>
      <c r="AE82" s="29">
        <v>0</v>
      </c>
      <c r="AF82" s="8">
        <f t="shared" si="105"/>
        <v>60</v>
      </c>
      <c r="AG82" s="8">
        <f t="shared" si="106"/>
        <v>1890</v>
      </c>
      <c r="AH82" s="8">
        <f t="shared" si="107"/>
        <v>1890</v>
      </c>
      <c r="AI82" s="29"/>
      <c r="AJ82" s="29"/>
      <c r="AK82" s="29"/>
      <c r="AL82" s="8">
        <f t="shared" si="108"/>
        <v>0</v>
      </c>
      <c r="AM82" s="8">
        <f t="shared" si="109"/>
        <v>1890</v>
      </c>
      <c r="AN82" s="8">
        <f t="shared" si="110"/>
        <v>1890</v>
      </c>
      <c r="AO82" s="9"/>
      <c r="AP82" s="9"/>
      <c r="AQ82" s="9"/>
      <c r="AR82" s="8">
        <f t="shared" si="111"/>
        <v>0</v>
      </c>
      <c r="AS82" s="8">
        <f t="shared" si="112"/>
        <v>1890</v>
      </c>
      <c r="AT82" s="8">
        <f t="shared" si="113"/>
        <v>1890</v>
      </c>
      <c r="AU82" s="9"/>
      <c r="AV82" s="9"/>
      <c r="AW82" s="9"/>
      <c r="AX82" s="8">
        <f t="shared" si="114"/>
        <v>0</v>
      </c>
      <c r="AY82" s="8">
        <f t="shared" si="115"/>
        <v>1890</v>
      </c>
      <c r="AZ82" s="8">
        <f t="shared" si="116"/>
        <v>1890</v>
      </c>
      <c r="BA82" s="9"/>
      <c r="BB82" s="9"/>
      <c r="BC82" s="9"/>
      <c r="BD82" s="8">
        <f t="shared" si="117"/>
        <v>0</v>
      </c>
      <c r="BE82" s="8">
        <f t="shared" si="118"/>
        <v>1890</v>
      </c>
      <c r="BF82" s="8">
        <f t="shared" si="119"/>
        <v>1890</v>
      </c>
      <c r="BG82" s="9"/>
      <c r="BH82" s="9"/>
      <c r="BI82" s="9"/>
      <c r="BJ82" s="8">
        <f t="shared" si="120"/>
        <v>0</v>
      </c>
      <c r="BK82" s="8">
        <f t="shared" si="121"/>
        <v>1890</v>
      </c>
      <c r="BL82" s="8">
        <f t="shared" si="122"/>
        <v>1890</v>
      </c>
      <c r="BM82" s="9"/>
      <c r="BN82" s="9"/>
      <c r="BO82" s="9"/>
      <c r="BP82" s="8">
        <f t="shared" si="123"/>
        <v>0</v>
      </c>
      <c r="BQ82" s="8">
        <f t="shared" si="124"/>
        <v>1890</v>
      </c>
      <c r="BR82" s="8">
        <f t="shared" si="125"/>
        <v>1890</v>
      </c>
      <c r="BS82" s="9"/>
      <c r="BT82" s="9"/>
      <c r="BU82" s="9"/>
      <c r="BV82" s="8">
        <f t="shared" si="126"/>
        <v>0</v>
      </c>
      <c r="BW82" s="8">
        <f t="shared" si="127"/>
        <v>1890</v>
      </c>
      <c r="BX82" s="8">
        <f t="shared" si="128"/>
        <v>1890</v>
      </c>
      <c r="BY82" s="9"/>
      <c r="BZ82" s="9">
        <v>60</v>
      </c>
      <c r="CA82" s="9">
        <v>0</v>
      </c>
      <c r="CB82" s="8">
        <f t="shared" si="129"/>
        <v>60</v>
      </c>
      <c r="CC82" s="8">
        <f t="shared" si="130"/>
        <v>1830</v>
      </c>
      <c r="CD82" s="8">
        <f t="shared" si="131"/>
        <v>1830</v>
      </c>
      <c r="CE82" s="9"/>
      <c r="CF82" s="9"/>
      <c r="CG82" s="9"/>
      <c r="CH82" s="8">
        <f t="shared" si="132"/>
        <v>0</v>
      </c>
      <c r="CI82" s="8">
        <f t="shared" si="133"/>
        <v>1830</v>
      </c>
      <c r="CJ82" s="8">
        <f t="shared" si="134"/>
        <v>1830</v>
      </c>
      <c r="CK82" s="9"/>
      <c r="CL82" s="9"/>
      <c r="CM82" s="9"/>
      <c r="CN82" s="8">
        <f t="shared" si="135"/>
        <v>0</v>
      </c>
      <c r="CO82" s="8">
        <f t="shared" si="136"/>
        <v>1830</v>
      </c>
      <c r="CP82" s="8">
        <f t="shared" si="137"/>
        <v>1830</v>
      </c>
    </row>
    <row r="83" spans="1:94" x14ac:dyDescent="0.3">
      <c r="A83" s="6">
        <v>75</v>
      </c>
      <c r="B83" s="22" t="s">
        <v>339</v>
      </c>
      <c r="C83" s="20" t="s">
        <v>242</v>
      </c>
      <c r="D83" s="24" t="s">
        <v>362</v>
      </c>
      <c r="E83" s="17" t="s">
        <v>162</v>
      </c>
      <c r="F83" s="12" t="s">
        <v>393</v>
      </c>
      <c r="G83" s="12" t="s">
        <v>87</v>
      </c>
      <c r="H83" s="7" t="s">
        <v>70</v>
      </c>
      <c r="I83" s="8">
        <v>100</v>
      </c>
      <c r="J83" s="8">
        <v>100</v>
      </c>
      <c r="K83" s="9"/>
      <c r="L83" s="9"/>
      <c r="M83" s="9"/>
      <c r="N83" s="8">
        <f t="shared" si="97"/>
        <v>0</v>
      </c>
      <c r="O83" s="8">
        <f t="shared" si="138"/>
        <v>100</v>
      </c>
      <c r="P83" s="8">
        <f t="shared" si="98"/>
        <v>100</v>
      </c>
      <c r="Q83" s="9"/>
      <c r="R83" s="9"/>
      <c r="S83" s="9"/>
      <c r="T83" s="8">
        <f t="shared" si="99"/>
        <v>0</v>
      </c>
      <c r="U83" s="8">
        <f t="shared" si="100"/>
        <v>100</v>
      </c>
      <c r="V83" s="8">
        <f t="shared" si="101"/>
        <v>100</v>
      </c>
      <c r="W83" s="29"/>
      <c r="X83" s="29"/>
      <c r="Y83" s="29"/>
      <c r="Z83" s="8">
        <f t="shared" si="102"/>
        <v>0</v>
      </c>
      <c r="AA83" s="8">
        <f t="shared" si="103"/>
        <v>100</v>
      </c>
      <c r="AB83" s="8">
        <f t="shared" si="104"/>
        <v>100</v>
      </c>
      <c r="AC83" s="29"/>
      <c r="AD83" s="29"/>
      <c r="AE83" s="29"/>
      <c r="AF83" s="8">
        <f t="shared" si="105"/>
        <v>0</v>
      </c>
      <c r="AG83" s="8">
        <f t="shared" si="106"/>
        <v>100</v>
      </c>
      <c r="AH83" s="8">
        <f t="shared" si="107"/>
        <v>100</v>
      </c>
      <c r="AI83" s="29"/>
      <c r="AJ83" s="29"/>
      <c r="AK83" s="29"/>
      <c r="AL83" s="8">
        <f t="shared" si="108"/>
        <v>0</v>
      </c>
      <c r="AM83" s="8">
        <f t="shared" si="109"/>
        <v>100</v>
      </c>
      <c r="AN83" s="8">
        <f t="shared" si="110"/>
        <v>100</v>
      </c>
      <c r="AO83" s="9"/>
      <c r="AP83" s="9"/>
      <c r="AQ83" s="9"/>
      <c r="AR83" s="8">
        <f t="shared" si="111"/>
        <v>0</v>
      </c>
      <c r="AS83" s="8">
        <f t="shared" si="112"/>
        <v>100</v>
      </c>
      <c r="AT83" s="8">
        <f t="shared" si="113"/>
        <v>100</v>
      </c>
      <c r="AU83" s="9"/>
      <c r="AV83" s="9"/>
      <c r="AW83" s="9"/>
      <c r="AX83" s="8">
        <f t="shared" si="114"/>
        <v>0</v>
      </c>
      <c r="AY83" s="8">
        <f t="shared" si="115"/>
        <v>100</v>
      </c>
      <c r="AZ83" s="8">
        <f t="shared" si="116"/>
        <v>100</v>
      </c>
      <c r="BA83" s="9"/>
      <c r="BB83" s="9"/>
      <c r="BC83" s="9"/>
      <c r="BD83" s="8">
        <f t="shared" si="117"/>
        <v>0</v>
      </c>
      <c r="BE83" s="8">
        <f t="shared" si="118"/>
        <v>100</v>
      </c>
      <c r="BF83" s="8">
        <f t="shared" si="119"/>
        <v>100</v>
      </c>
      <c r="BG83" s="9"/>
      <c r="BH83" s="9"/>
      <c r="BI83" s="9"/>
      <c r="BJ83" s="8">
        <f t="shared" si="120"/>
        <v>0</v>
      </c>
      <c r="BK83" s="8">
        <f t="shared" si="121"/>
        <v>100</v>
      </c>
      <c r="BL83" s="8">
        <f t="shared" si="122"/>
        <v>100</v>
      </c>
      <c r="BM83" s="9"/>
      <c r="BN83" s="9"/>
      <c r="BO83" s="9"/>
      <c r="BP83" s="8">
        <f t="shared" si="123"/>
        <v>0</v>
      </c>
      <c r="BQ83" s="8">
        <f t="shared" si="124"/>
        <v>100</v>
      </c>
      <c r="BR83" s="8">
        <f t="shared" si="125"/>
        <v>100</v>
      </c>
      <c r="BS83" s="9"/>
      <c r="BT83" s="9"/>
      <c r="BU83" s="9"/>
      <c r="BV83" s="8">
        <f t="shared" si="126"/>
        <v>0</v>
      </c>
      <c r="BW83" s="8">
        <f t="shared" si="127"/>
        <v>100</v>
      </c>
      <c r="BX83" s="8">
        <f t="shared" si="128"/>
        <v>100</v>
      </c>
      <c r="BY83" s="9"/>
      <c r="BZ83" s="9"/>
      <c r="CA83" s="9"/>
      <c r="CB83" s="8">
        <f t="shared" si="129"/>
        <v>0</v>
      </c>
      <c r="CC83" s="8">
        <f t="shared" si="130"/>
        <v>100</v>
      </c>
      <c r="CD83" s="8">
        <f t="shared" si="131"/>
        <v>100</v>
      </c>
      <c r="CE83" s="9"/>
      <c r="CF83" s="9"/>
      <c r="CG83" s="9"/>
      <c r="CH83" s="8">
        <f t="shared" si="132"/>
        <v>0</v>
      </c>
      <c r="CI83" s="8">
        <f t="shared" si="133"/>
        <v>100</v>
      </c>
      <c r="CJ83" s="8">
        <f t="shared" si="134"/>
        <v>100</v>
      </c>
      <c r="CK83" s="9"/>
      <c r="CL83" s="9"/>
      <c r="CM83" s="9"/>
      <c r="CN83" s="8">
        <f t="shared" si="135"/>
        <v>0</v>
      </c>
      <c r="CO83" s="8">
        <f t="shared" si="136"/>
        <v>100</v>
      </c>
      <c r="CP83" s="8">
        <f t="shared" si="137"/>
        <v>100</v>
      </c>
    </row>
    <row r="84" spans="1:94" x14ac:dyDescent="0.3">
      <c r="A84" s="6">
        <v>76</v>
      </c>
      <c r="B84" s="22" t="s">
        <v>340</v>
      </c>
      <c r="C84" s="20" t="s">
        <v>243</v>
      </c>
      <c r="D84" s="24" t="s">
        <v>362</v>
      </c>
      <c r="E84" s="18" t="s">
        <v>163</v>
      </c>
      <c r="F84" s="12" t="s">
        <v>371</v>
      </c>
      <c r="G84" s="12" t="s">
        <v>367</v>
      </c>
      <c r="H84" s="7" t="s">
        <v>70</v>
      </c>
      <c r="I84" s="8">
        <v>0</v>
      </c>
      <c r="J84" s="8">
        <v>0</v>
      </c>
      <c r="K84" s="9"/>
      <c r="L84" s="9"/>
      <c r="M84" s="9"/>
      <c r="N84" s="8">
        <f t="shared" si="97"/>
        <v>0</v>
      </c>
      <c r="O84" s="8">
        <f t="shared" si="138"/>
        <v>0</v>
      </c>
      <c r="P84" s="8">
        <f t="shared" si="98"/>
        <v>0</v>
      </c>
      <c r="Q84" s="9"/>
      <c r="R84" s="9"/>
      <c r="S84" s="9"/>
      <c r="T84" s="8">
        <f t="shared" si="99"/>
        <v>0</v>
      </c>
      <c r="U84" s="8">
        <f t="shared" si="100"/>
        <v>0</v>
      </c>
      <c r="V84" s="8">
        <f t="shared" si="101"/>
        <v>0</v>
      </c>
      <c r="W84" s="29"/>
      <c r="X84" s="29"/>
      <c r="Y84" s="29"/>
      <c r="Z84" s="8">
        <f t="shared" si="102"/>
        <v>0</v>
      </c>
      <c r="AA84" s="8">
        <f t="shared" si="103"/>
        <v>0</v>
      </c>
      <c r="AB84" s="8">
        <f t="shared" si="104"/>
        <v>0</v>
      </c>
      <c r="AC84" s="29"/>
      <c r="AD84" s="29"/>
      <c r="AE84" s="29"/>
      <c r="AF84" s="8">
        <f t="shared" si="105"/>
        <v>0</v>
      </c>
      <c r="AG84" s="8">
        <f t="shared" si="106"/>
        <v>0</v>
      </c>
      <c r="AH84" s="8">
        <f t="shared" si="107"/>
        <v>0</v>
      </c>
      <c r="AI84" s="29"/>
      <c r="AJ84" s="29"/>
      <c r="AK84" s="29"/>
      <c r="AL84" s="8">
        <f t="shared" si="108"/>
        <v>0</v>
      </c>
      <c r="AM84" s="8">
        <f t="shared" si="109"/>
        <v>0</v>
      </c>
      <c r="AN84" s="8">
        <f t="shared" si="110"/>
        <v>0</v>
      </c>
      <c r="AO84" s="9"/>
      <c r="AP84" s="9"/>
      <c r="AQ84" s="9"/>
      <c r="AR84" s="8">
        <f t="shared" si="111"/>
        <v>0</v>
      </c>
      <c r="AS84" s="8">
        <f t="shared" si="112"/>
        <v>0</v>
      </c>
      <c r="AT84" s="8">
        <f t="shared" si="113"/>
        <v>0</v>
      </c>
      <c r="AU84" s="9"/>
      <c r="AV84" s="9"/>
      <c r="AW84" s="9"/>
      <c r="AX84" s="8">
        <f t="shared" si="114"/>
        <v>0</v>
      </c>
      <c r="AY84" s="8">
        <f t="shared" si="115"/>
        <v>0</v>
      </c>
      <c r="AZ84" s="8">
        <f t="shared" si="116"/>
        <v>0</v>
      </c>
      <c r="BA84" s="9"/>
      <c r="BB84" s="9"/>
      <c r="BC84" s="9"/>
      <c r="BD84" s="8">
        <f t="shared" si="117"/>
        <v>0</v>
      </c>
      <c r="BE84" s="8">
        <f t="shared" si="118"/>
        <v>0</v>
      </c>
      <c r="BF84" s="8">
        <f t="shared" si="119"/>
        <v>0</v>
      </c>
      <c r="BG84" s="9"/>
      <c r="BH84" s="9"/>
      <c r="BI84" s="9"/>
      <c r="BJ84" s="8">
        <f t="shared" si="120"/>
        <v>0</v>
      </c>
      <c r="BK84" s="8">
        <f t="shared" si="121"/>
        <v>0</v>
      </c>
      <c r="BL84" s="8">
        <f t="shared" si="122"/>
        <v>0</v>
      </c>
      <c r="BM84" s="9"/>
      <c r="BN84" s="9"/>
      <c r="BO84" s="9"/>
      <c r="BP84" s="8">
        <f t="shared" si="123"/>
        <v>0</v>
      </c>
      <c r="BQ84" s="8">
        <f t="shared" si="124"/>
        <v>0</v>
      </c>
      <c r="BR84" s="8">
        <f t="shared" si="125"/>
        <v>0</v>
      </c>
      <c r="BS84" s="9"/>
      <c r="BT84" s="9"/>
      <c r="BU84" s="9"/>
      <c r="BV84" s="8">
        <f t="shared" si="126"/>
        <v>0</v>
      </c>
      <c r="BW84" s="8">
        <f t="shared" si="127"/>
        <v>0</v>
      </c>
      <c r="BX84" s="8">
        <f t="shared" si="128"/>
        <v>0</v>
      </c>
      <c r="BY84" s="9"/>
      <c r="BZ84" s="9"/>
      <c r="CA84" s="9"/>
      <c r="CB84" s="8">
        <f t="shared" si="129"/>
        <v>0</v>
      </c>
      <c r="CC84" s="8">
        <f t="shared" si="130"/>
        <v>0</v>
      </c>
      <c r="CD84" s="8">
        <f t="shared" si="131"/>
        <v>0</v>
      </c>
      <c r="CE84" s="9"/>
      <c r="CF84" s="9"/>
      <c r="CG84" s="9"/>
      <c r="CH84" s="8">
        <f t="shared" si="132"/>
        <v>0</v>
      </c>
      <c r="CI84" s="8">
        <f t="shared" si="133"/>
        <v>0</v>
      </c>
      <c r="CJ84" s="8">
        <f t="shared" si="134"/>
        <v>0</v>
      </c>
      <c r="CK84" s="9"/>
      <c r="CL84" s="9"/>
      <c r="CM84" s="9"/>
      <c r="CN84" s="8">
        <f t="shared" si="135"/>
        <v>0</v>
      </c>
      <c r="CO84" s="8">
        <f t="shared" si="136"/>
        <v>0</v>
      </c>
      <c r="CP84" s="8">
        <f t="shared" si="137"/>
        <v>0</v>
      </c>
    </row>
    <row r="85" spans="1:94" x14ac:dyDescent="0.3">
      <c r="A85" s="6">
        <v>77</v>
      </c>
      <c r="B85" s="22" t="s">
        <v>341</v>
      </c>
      <c r="C85" s="20" t="s">
        <v>244</v>
      </c>
      <c r="D85" s="24" t="s">
        <v>362</v>
      </c>
      <c r="E85" s="16" t="s">
        <v>164</v>
      </c>
      <c r="F85" s="13" t="s">
        <v>395</v>
      </c>
      <c r="G85" s="13" t="s">
        <v>88</v>
      </c>
      <c r="H85" s="7" t="s">
        <v>70</v>
      </c>
      <c r="I85" s="8">
        <v>0</v>
      </c>
      <c r="J85" s="8">
        <v>0</v>
      </c>
      <c r="K85" s="9"/>
      <c r="L85" s="9"/>
      <c r="M85" s="9"/>
      <c r="N85" s="8">
        <f t="shared" si="97"/>
        <v>0</v>
      </c>
      <c r="O85" s="8">
        <f t="shared" si="138"/>
        <v>0</v>
      </c>
      <c r="P85" s="8">
        <f t="shared" si="98"/>
        <v>0</v>
      </c>
      <c r="Q85" s="9"/>
      <c r="R85" s="9"/>
      <c r="S85" s="9"/>
      <c r="T85" s="8">
        <f t="shared" si="99"/>
        <v>0</v>
      </c>
      <c r="U85" s="8">
        <f t="shared" si="100"/>
        <v>0</v>
      </c>
      <c r="V85" s="8">
        <f t="shared" si="101"/>
        <v>0</v>
      </c>
      <c r="W85" s="29"/>
      <c r="X85" s="29"/>
      <c r="Y85" s="29"/>
      <c r="Z85" s="8">
        <f t="shared" si="102"/>
        <v>0</v>
      </c>
      <c r="AA85" s="8">
        <f t="shared" si="103"/>
        <v>0</v>
      </c>
      <c r="AB85" s="8">
        <f t="shared" si="104"/>
        <v>0</v>
      </c>
      <c r="AC85" s="29"/>
      <c r="AD85" s="29"/>
      <c r="AE85" s="29"/>
      <c r="AF85" s="8">
        <f t="shared" si="105"/>
        <v>0</v>
      </c>
      <c r="AG85" s="8">
        <f t="shared" si="106"/>
        <v>0</v>
      </c>
      <c r="AH85" s="8">
        <f t="shared" si="107"/>
        <v>0</v>
      </c>
      <c r="AI85" s="29"/>
      <c r="AJ85" s="29"/>
      <c r="AK85" s="29"/>
      <c r="AL85" s="8">
        <f t="shared" si="108"/>
        <v>0</v>
      </c>
      <c r="AM85" s="8">
        <f t="shared" si="109"/>
        <v>0</v>
      </c>
      <c r="AN85" s="8">
        <f t="shared" si="110"/>
        <v>0</v>
      </c>
      <c r="AO85" s="9"/>
      <c r="AP85" s="9"/>
      <c r="AQ85" s="9"/>
      <c r="AR85" s="8">
        <f t="shared" si="111"/>
        <v>0</v>
      </c>
      <c r="AS85" s="8">
        <f t="shared" si="112"/>
        <v>0</v>
      </c>
      <c r="AT85" s="8">
        <f t="shared" si="113"/>
        <v>0</v>
      </c>
      <c r="AU85" s="9"/>
      <c r="AV85" s="9"/>
      <c r="AW85" s="9"/>
      <c r="AX85" s="8">
        <f t="shared" si="114"/>
        <v>0</v>
      </c>
      <c r="AY85" s="8">
        <f t="shared" si="115"/>
        <v>0</v>
      </c>
      <c r="AZ85" s="8">
        <f t="shared" si="116"/>
        <v>0</v>
      </c>
      <c r="BA85" s="9"/>
      <c r="BB85" s="9"/>
      <c r="BC85" s="9"/>
      <c r="BD85" s="8">
        <f t="shared" si="117"/>
        <v>0</v>
      </c>
      <c r="BE85" s="8">
        <f t="shared" si="118"/>
        <v>0</v>
      </c>
      <c r="BF85" s="8">
        <f t="shared" si="119"/>
        <v>0</v>
      </c>
      <c r="BG85" s="9"/>
      <c r="BH85" s="9"/>
      <c r="BI85" s="9"/>
      <c r="BJ85" s="8">
        <f t="shared" si="120"/>
        <v>0</v>
      </c>
      <c r="BK85" s="8">
        <f t="shared" si="121"/>
        <v>0</v>
      </c>
      <c r="BL85" s="8">
        <f t="shared" si="122"/>
        <v>0</v>
      </c>
      <c r="BM85" s="9"/>
      <c r="BN85" s="9"/>
      <c r="BO85" s="9"/>
      <c r="BP85" s="8">
        <f t="shared" si="123"/>
        <v>0</v>
      </c>
      <c r="BQ85" s="8">
        <f t="shared" si="124"/>
        <v>0</v>
      </c>
      <c r="BR85" s="8">
        <f t="shared" si="125"/>
        <v>0</v>
      </c>
      <c r="BS85" s="9"/>
      <c r="BT85" s="9"/>
      <c r="BU85" s="9"/>
      <c r="BV85" s="8">
        <f t="shared" si="126"/>
        <v>0</v>
      </c>
      <c r="BW85" s="8">
        <f t="shared" si="127"/>
        <v>0</v>
      </c>
      <c r="BX85" s="8">
        <f t="shared" si="128"/>
        <v>0</v>
      </c>
      <c r="BY85" s="9"/>
      <c r="BZ85" s="9"/>
      <c r="CA85" s="9"/>
      <c r="CB85" s="8">
        <f t="shared" si="129"/>
        <v>0</v>
      </c>
      <c r="CC85" s="8">
        <f t="shared" si="130"/>
        <v>0</v>
      </c>
      <c r="CD85" s="8">
        <f t="shared" si="131"/>
        <v>0</v>
      </c>
      <c r="CE85" s="9"/>
      <c r="CF85" s="9"/>
      <c r="CG85" s="9"/>
      <c r="CH85" s="8">
        <f t="shared" si="132"/>
        <v>0</v>
      </c>
      <c r="CI85" s="8">
        <f t="shared" si="133"/>
        <v>0</v>
      </c>
      <c r="CJ85" s="8">
        <f t="shared" si="134"/>
        <v>0</v>
      </c>
      <c r="CK85" s="9"/>
      <c r="CL85" s="9"/>
      <c r="CM85" s="9"/>
      <c r="CN85" s="8">
        <f t="shared" si="135"/>
        <v>0</v>
      </c>
      <c r="CO85" s="8">
        <f t="shared" si="136"/>
        <v>0</v>
      </c>
      <c r="CP85" s="8">
        <f t="shared" si="137"/>
        <v>0</v>
      </c>
    </row>
    <row r="86" spans="1:94" x14ac:dyDescent="0.3">
      <c r="A86" s="6">
        <v>79</v>
      </c>
      <c r="B86" s="22" t="s">
        <v>342</v>
      </c>
      <c r="C86" s="20" t="s">
        <v>245</v>
      </c>
      <c r="D86" s="24" t="s">
        <v>362</v>
      </c>
      <c r="E86" s="16">
        <v>0</v>
      </c>
      <c r="F86" s="12" t="s">
        <v>396</v>
      </c>
      <c r="G86" s="12" t="s">
        <v>89</v>
      </c>
      <c r="H86" s="7" t="s">
        <v>70</v>
      </c>
      <c r="I86" s="8">
        <v>450</v>
      </c>
      <c r="J86" s="8">
        <v>450</v>
      </c>
      <c r="K86" s="9"/>
      <c r="L86" s="9"/>
      <c r="M86" s="9"/>
      <c r="N86" s="8">
        <f t="shared" si="97"/>
        <v>0</v>
      </c>
      <c r="O86" s="8">
        <f t="shared" si="138"/>
        <v>450</v>
      </c>
      <c r="P86" s="8">
        <f t="shared" si="98"/>
        <v>450</v>
      </c>
      <c r="Q86" s="9"/>
      <c r="R86" s="9"/>
      <c r="S86" s="9"/>
      <c r="T86" s="8">
        <f t="shared" si="99"/>
        <v>0</v>
      </c>
      <c r="U86" s="8">
        <f t="shared" si="100"/>
        <v>450</v>
      </c>
      <c r="V86" s="8">
        <f t="shared" si="101"/>
        <v>450</v>
      </c>
      <c r="W86" s="29"/>
      <c r="X86" s="29"/>
      <c r="Y86" s="29"/>
      <c r="Z86" s="8">
        <f t="shared" si="102"/>
        <v>0</v>
      </c>
      <c r="AA86" s="8">
        <f t="shared" si="103"/>
        <v>450</v>
      </c>
      <c r="AB86" s="8">
        <f t="shared" si="104"/>
        <v>450</v>
      </c>
      <c r="AC86" s="29"/>
      <c r="AD86" s="29"/>
      <c r="AE86" s="29"/>
      <c r="AF86" s="8">
        <f t="shared" si="105"/>
        <v>0</v>
      </c>
      <c r="AG86" s="8">
        <f t="shared" si="106"/>
        <v>450</v>
      </c>
      <c r="AH86" s="8">
        <f t="shared" si="107"/>
        <v>450</v>
      </c>
      <c r="AI86" s="29"/>
      <c r="AJ86" s="29"/>
      <c r="AK86" s="29"/>
      <c r="AL86" s="8">
        <f t="shared" si="108"/>
        <v>0</v>
      </c>
      <c r="AM86" s="8">
        <f t="shared" si="109"/>
        <v>450</v>
      </c>
      <c r="AN86" s="8">
        <f t="shared" si="110"/>
        <v>450</v>
      </c>
      <c r="AO86" s="9"/>
      <c r="AP86" s="9"/>
      <c r="AQ86" s="9"/>
      <c r="AR86" s="8">
        <f t="shared" si="111"/>
        <v>0</v>
      </c>
      <c r="AS86" s="8">
        <f t="shared" si="112"/>
        <v>450</v>
      </c>
      <c r="AT86" s="8">
        <f t="shared" si="113"/>
        <v>450</v>
      </c>
      <c r="AU86" s="9"/>
      <c r="AV86" s="9"/>
      <c r="AW86" s="9"/>
      <c r="AX86" s="8">
        <f t="shared" si="114"/>
        <v>0</v>
      </c>
      <c r="AY86" s="8">
        <f t="shared" si="115"/>
        <v>450</v>
      </c>
      <c r="AZ86" s="8">
        <f t="shared" si="116"/>
        <v>450</v>
      </c>
      <c r="BA86" s="9"/>
      <c r="BB86" s="9"/>
      <c r="BC86" s="9"/>
      <c r="BD86" s="8">
        <f t="shared" si="117"/>
        <v>0</v>
      </c>
      <c r="BE86" s="8">
        <f t="shared" si="118"/>
        <v>450</v>
      </c>
      <c r="BF86" s="8">
        <f t="shared" si="119"/>
        <v>450</v>
      </c>
      <c r="BG86" s="9"/>
      <c r="BH86" s="9"/>
      <c r="BI86" s="9"/>
      <c r="BJ86" s="8">
        <f t="shared" si="120"/>
        <v>0</v>
      </c>
      <c r="BK86" s="8">
        <f t="shared" si="121"/>
        <v>450</v>
      </c>
      <c r="BL86" s="8">
        <f t="shared" si="122"/>
        <v>450</v>
      </c>
      <c r="BM86" s="9"/>
      <c r="BN86" s="9"/>
      <c r="BO86" s="9"/>
      <c r="BP86" s="8">
        <f t="shared" si="123"/>
        <v>0</v>
      </c>
      <c r="BQ86" s="8">
        <f t="shared" si="124"/>
        <v>450</v>
      </c>
      <c r="BR86" s="8">
        <f t="shared" si="125"/>
        <v>450</v>
      </c>
      <c r="BS86" s="9"/>
      <c r="BT86" s="9"/>
      <c r="BU86" s="9"/>
      <c r="BV86" s="8">
        <f t="shared" si="126"/>
        <v>0</v>
      </c>
      <c r="BW86" s="8">
        <f t="shared" si="127"/>
        <v>450</v>
      </c>
      <c r="BX86" s="8">
        <f t="shared" si="128"/>
        <v>450</v>
      </c>
      <c r="BY86" s="9"/>
      <c r="BZ86" s="9"/>
      <c r="CA86" s="9"/>
      <c r="CB86" s="8">
        <f t="shared" si="129"/>
        <v>0</v>
      </c>
      <c r="CC86" s="8">
        <f t="shared" si="130"/>
        <v>450</v>
      </c>
      <c r="CD86" s="8">
        <f t="shared" si="131"/>
        <v>450</v>
      </c>
      <c r="CE86" s="9"/>
      <c r="CF86" s="9"/>
      <c r="CG86" s="9"/>
      <c r="CH86" s="8">
        <f t="shared" si="132"/>
        <v>0</v>
      </c>
      <c r="CI86" s="8">
        <f t="shared" si="133"/>
        <v>450</v>
      </c>
      <c r="CJ86" s="8">
        <f t="shared" si="134"/>
        <v>450</v>
      </c>
      <c r="CK86" s="9"/>
      <c r="CL86" s="9"/>
      <c r="CM86" s="9"/>
      <c r="CN86" s="8">
        <f t="shared" si="135"/>
        <v>0</v>
      </c>
      <c r="CO86" s="8">
        <f t="shared" si="136"/>
        <v>450</v>
      </c>
      <c r="CP86" s="8">
        <f t="shared" si="137"/>
        <v>450</v>
      </c>
    </row>
    <row r="87" spans="1:94" x14ac:dyDescent="0.3">
      <c r="A87" s="6">
        <v>80</v>
      </c>
      <c r="B87" s="22" t="s">
        <v>343</v>
      </c>
      <c r="C87" s="20" t="s">
        <v>246</v>
      </c>
      <c r="D87" s="24" t="s">
        <v>362</v>
      </c>
      <c r="E87" s="16" t="s">
        <v>165</v>
      </c>
      <c r="F87" s="12" t="s">
        <v>396</v>
      </c>
      <c r="G87" s="12" t="s">
        <v>89</v>
      </c>
      <c r="H87" s="7" t="s">
        <v>70</v>
      </c>
      <c r="I87" s="8">
        <v>1</v>
      </c>
      <c r="J87" s="8">
        <v>1</v>
      </c>
      <c r="K87" s="9"/>
      <c r="L87" s="9"/>
      <c r="M87" s="9"/>
      <c r="N87" s="8">
        <f t="shared" si="97"/>
        <v>0</v>
      </c>
      <c r="O87" s="8">
        <f t="shared" si="138"/>
        <v>1</v>
      </c>
      <c r="P87" s="8">
        <f t="shared" si="98"/>
        <v>1</v>
      </c>
      <c r="Q87" s="9"/>
      <c r="R87" s="9"/>
      <c r="S87" s="9"/>
      <c r="T87" s="8">
        <f t="shared" si="99"/>
        <v>0</v>
      </c>
      <c r="U87" s="8">
        <f t="shared" si="100"/>
        <v>1</v>
      </c>
      <c r="V87" s="8">
        <f t="shared" si="101"/>
        <v>1</v>
      </c>
      <c r="W87" s="29"/>
      <c r="X87" s="29"/>
      <c r="Y87" s="29"/>
      <c r="Z87" s="8">
        <f t="shared" si="102"/>
        <v>0</v>
      </c>
      <c r="AA87" s="8">
        <f t="shared" si="103"/>
        <v>1</v>
      </c>
      <c r="AB87" s="8">
        <f t="shared" si="104"/>
        <v>1</v>
      </c>
      <c r="AC87" s="29"/>
      <c r="AD87" s="29"/>
      <c r="AE87" s="29"/>
      <c r="AF87" s="8">
        <f t="shared" si="105"/>
        <v>0</v>
      </c>
      <c r="AG87" s="8">
        <f t="shared" si="106"/>
        <v>1</v>
      </c>
      <c r="AH87" s="8">
        <f t="shared" si="107"/>
        <v>1</v>
      </c>
      <c r="AI87" s="29"/>
      <c r="AJ87" s="29"/>
      <c r="AK87" s="29"/>
      <c r="AL87" s="8">
        <f t="shared" si="108"/>
        <v>0</v>
      </c>
      <c r="AM87" s="8">
        <f t="shared" si="109"/>
        <v>1</v>
      </c>
      <c r="AN87" s="8">
        <f t="shared" si="110"/>
        <v>1</v>
      </c>
      <c r="AO87" s="9"/>
      <c r="AP87" s="9"/>
      <c r="AQ87" s="9"/>
      <c r="AR87" s="8">
        <f t="shared" si="111"/>
        <v>0</v>
      </c>
      <c r="AS87" s="8">
        <f t="shared" si="112"/>
        <v>1</v>
      </c>
      <c r="AT87" s="8">
        <f t="shared" si="113"/>
        <v>1</v>
      </c>
      <c r="AU87" s="9"/>
      <c r="AV87" s="9"/>
      <c r="AW87" s="9"/>
      <c r="AX87" s="8">
        <f t="shared" si="114"/>
        <v>0</v>
      </c>
      <c r="AY87" s="8">
        <f t="shared" si="115"/>
        <v>1</v>
      </c>
      <c r="AZ87" s="8">
        <f t="shared" si="116"/>
        <v>1</v>
      </c>
      <c r="BA87" s="9"/>
      <c r="BB87" s="9"/>
      <c r="BC87" s="9"/>
      <c r="BD87" s="8">
        <f t="shared" si="117"/>
        <v>0</v>
      </c>
      <c r="BE87" s="8">
        <f t="shared" si="118"/>
        <v>1</v>
      </c>
      <c r="BF87" s="8">
        <f t="shared" si="119"/>
        <v>1</v>
      </c>
      <c r="BG87" s="9"/>
      <c r="BH87" s="9"/>
      <c r="BI87" s="9"/>
      <c r="BJ87" s="8">
        <f t="shared" si="120"/>
        <v>0</v>
      </c>
      <c r="BK87" s="8">
        <f t="shared" si="121"/>
        <v>1</v>
      </c>
      <c r="BL87" s="8">
        <f t="shared" si="122"/>
        <v>1</v>
      </c>
      <c r="BM87" s="9"/>
      <c r="BN87" s="9"/>
      <c r="BO87" s="9"/>
      <c r="BP87" s="8">
        <f t="shared" si="123"/>
        <v>0</v>
      </c>
      <c r="BQ87" s="8">
        <f t="shared" si="124"/>
        <v>1</v>
      </c>
      <c r="BR87" s="8">
        <f t="shared" si="125"/>
        <v>1</v>
      </c>
      <c r="BS87" s="9"/>
      <c r="BT87" s="9"/>
      <c r="BU87" s="9"/>
      <c r="BV87" s="8">
        <f t="shared" si="126"/>
        <v>0</v>
      </c>
      <c r="BW87" s="8">
        <f t="shared" si="127"/>
        <v>1</v>
      </c>
      <c r="BX87" s="8">
        <f t="shared" si="128"/>
        <v>1</v>
      </c>
      <c r="BY87" s="9"/>
      <c r="BZ87" s="9"/>
      <c r="CA87" s="9"/>
      <c r="CB87" s="8">
        <f t="shared" si="129"/>
        <v>0</v>
      </c>
      <c r="CC87" s="8">
        <f t="shared" si="130"/>
        <v>1</v>
      </c>
      <c r="CD87" s="8">
        <f t="shared" si="131"/>
        <v>1</v>
      </c>
      <c r="CE87" s="9"/>
      <c r="CF87" s="9"/>
      <c r="CG87" s="9"/>
      <c r="CH87" s="8">
        <f t="shared" si="132"/>
        <v>0</v>
      </c>
      <c r="CI87" s="8">
        <f t="shared" si="133"/>
        <v>1</v>
      </c>
      <c r="CJ87" s="8">
        <f t="shared" si="134"/>
        <v>1</v>
      </c>
      <c r="CK87" s="9"/>
      <c r="CL87" s="9"/>
      <c r="CM87" s="9"/>
      <c r="CN87" s="8">
        <f t="shared" si="135"/>
        <v>0</v>
      </c>
      <c r="CO87" s="8">
        <f t="shared" si="136"/>
        <v>1</v>
      </c>
      <c r="CP87" s="8">
        <f t="shared" si="137"/>
        <v>1</v>
      </c>
    </row>
    <row r="88" spans="1:94" x14ac:dyDescent="0.3">
      <c r="A88" s="6">
        <v>81</v>
      </c>
      <c r="B88" s="22" t="s">
        <v>344</v>
      </c>
      <c r="C88" s="20" t="s">
        <v>247</v>
      </c>
      <c r="D88" s="24" t="s">
        <v>362</v>
      </c>
      <c r="E88" s="16" t="s">
        <v>166</v>
      </c>
      <c r="F88" s="12" t="s">
        <v>396</v>
      </c>
      <c r="G88" s="12" t="s">
        <v>89</v>
      </c>
      <c r="H88" s="7" t="s">
        <v>70</v>
      </c>
      <c r="I88" s="8">
        <v>1</v>
      </c>
      <c r="J88" s="8">
        <v>1</v>
      </c>
      <c r="K88" s="9"/>
      <c r="L88" s="9"/>
      <c r="M88" s="9"/>
      <c r="N88" s="8">
        <f t="shared" si="97"/>
        <v>0</v>
      </c>
      <c r="O88" s="8">
        <f t="shared" si="138"/>
        <v>1</v>
      </c>
      <c r="P88" s="8">
        <f t="shared" si="98"/>
        <v>1</v>
      </c>
      <c r="Q88" s="9"/>
      <c r="R88" s="9"/>
      <c r="S88" s="9"/>
      <c r="T88" s="8">
        <f t="shared" si="99"/>
        <v>0</v>
      </c>
      <c r="U88" s="8">
        <f t="shared" si="100"/>
        <v>1</v>
      </c>
      <c r="V88" s="8">
        <f t="shared" si="101"/>
        <v>1</v>
      </c>
      <c r="W88" s="29"/>
      <c r="X88" s="29"/>
      <c r="Y88" s="29"/>
      <c r="Z88" s="8">
        <f t="shared" si="102"/>
        <v>0</v>
      </c>
      <c r="AA88" s="8">
        <f t="shared" si="103"/>
        <v>1</v>
      </c>
      <c r="AB88" s="8">
        <f t="shared" si="104"/>
        <v>1</v>
      </c>
      <c r="AC88" s="29"/>
      <c r="AD88" s="29"/>
      <c r="AE88" s="29"/>
      <c r="AF88" s="8">
        <f t="shared" si="105"/>
        <v>0</v>
      </c>
      <c r="AG88" s="8">
        <f t="shared" si="106"/>
        <v>1</v>
      </c>
      <c r="AH88" s="8">
        <f t="shared" si="107"/>
        <v>1</v>
      </c>
      <c r="AI88" s="29"/>
      <c r="AJ88" s="29"/>
      <c r="AK88" s="29"/>
      <c r="AL88" s="8">
        <f t="shared" si="108"/>
        <v>0</v>
      </c>
      <c r="AM88" s="8">
        <f t="shared" si="109"/>
        <v>1</v>
      </c>
      <c r="AN88" s="8">
        <f t="shared" si="110"/>
        <v>1</v>
      </c>
      <c r="AO88" s="9"/>
      <c r="AP88" s="9"/>
      <c r="AQ88" s="9"/>
      <c r="AR88" s="8">
        <f t="shared" si="111"/>
        <v>0</v>
      </c>
      <c r="AS88" s="8">
        <f t="shared" si="112"/>
        <v>1</v>
      </c>
      <c r="AT88" s="8">
        <f t="shared" si="113"/>
        <v>1</v>
      </c>
      <c r="AU88" s="9"/>
      <c r="AV88" s="9"/>
      <c r="AW88" s="9"/>
      <c r="AX88" s="8">
        <f t="shared" si="114"/>
        <v>0</v>
      </c>
      <c r="AY88" s="8">
        <f t="shared" si="115"/>
        <v>1</v>
      </c>
      <c r="AZ88" s="8">
        <f t="shared" si="116"/>
        <v>1</v>
      </c>
      <c r="BA88" s="9"/>
      <c r="BB88" s="9"/>
      <c r="BC88" s="9"/>
      <c r="BD88" s="8">
        <f t="shared" si="117"/>
        <v>0</v>
      </c>
      <c r="BE88" s="8">
        <f t="shared" si="118"/>
        <v>1</v>
      </c>
      <c r="BF88" s="8">
        <f t="shared" si="119"/>
        <v>1</v>
      </c>
      <c r="BG88" s="9"/>
      <c r="BH88" s="9"/>
      <c r="BI88" s="9"/>
      <c r="BJ88" s="8">
        <f t="shared" si="120"/>
        <v>0</v>
      </c>
      <c r="BK88" s="8">
        <f t="shared" si="121"/>
        <v>1</v>
      </c>
      <c r="BL88" s="8">
        <f t="shared" si="122"/>
        <v>1</v>
      </c>
      <c r="BM88" s="9"/>
      <c r="BN88" s="9"/>
      <c r="BO88" s="9"/>
      <c r="BP88" s="8">
        <f t="shared" si="123"/>
        <v>0</v>
      </c>
      <c r="BQ88" s="8">
        <f t="shared" si="124"/>
        <v>1</v>
      </c>
      <c r="BR88" s="8">
        <f t="shared" si="125"/>
        <v>1</v>
      </c>
      <c r="BS88" s="9"/>
      <c r="BT88" s="9"/>
      <c r="BU88" s="9"/>
      <c r="BV88" s="8">
        <f t="shared" si="126"/>
        <v>0</v>
      </c>
      <c r="BW88" s="8">
        <f t="shared" si="127"/>
        <v>1</v>
      </c>
      <c r="BX88" s="8">
        <f t="shared" si="128"/>
        <v>1</v>
      </c>
      <c r="BY88" s="9"/>
      <c r="BZ88" s="9"/>
      <c r="CA88" s="9"/>
      <c r="CB88" s="8">
        <f t="shared" si="129"/>
        <v>0</v>
      </c>
      <c r="CC88" s="8">
        <f t="shared" si="130"/>
        <v>1</v>
      </c>
      <c r="CD88" s="8">
        <f t="shared" si="131"/>
        <v>1</v>
      </c>
      <c r="CE88" s="9"/>
      <c r="CF88" s="9"/>
      <c r="CG88" s="9"/>
      <c r="CH88" s="8">
        <f t="shared" si="132"/>
        <v>0</v>
      </c>
      <c r="CI88" s="8">
        <f t="shared" si="133"/>
        <v>1</v>
      </c>
      <c r="CJ88" s="8">
        <f t="shared" si="134"/>
        <v>1</v>
      </c>
      <c r="CK88" s="9"/>
      <c r="CL88" s="9"/>
      <c r="CM88" s="9"/>
      <c r="CN88" s="8">
        <f t="shared" si="135"/>
        <v>0</v>
      </c>
      <c r="CO88" s="8">
        <f t="shared" si="136"/>
        <v>1</v>
      </c>
      <c r="CP88" s="8">
        <f t="shared" si="137"/>
        <v>1</v>
      </c>
    </row>
    <row r="89" spans="1:94" x14ac:dyDescent="0.3">
      <c r="A89" s="6">
        <v>82</v>
      </c>
      <c r="B89" s="22" t="s">
        <v>345</v>
      </c>
      <c r="C89" s="20" t="s">
        <v>248</v>
      </c>
      <c r="D89" s="24" t="s">
        <v>362</v>
      </c>
      <c r="E89" s="16" t="s">
        <v>167</v>
      </c>
      <c r="F89" s="12" t="s">
        <v>394</v>
      </c>
      <c r="G89" s="12" t="s">
        <v>369</v>
      </c>
      <c r="H89" s="7" t="s">
        <v>70</v>
      </c>
      <c r="I89" s="8">
        <v>1</v>
      </c>
      <c r="J89" s="8">
        <v>1</v>
      </c>
      <c r="K89" s="9"/>
      <c r="L89" s="9"/>
      <c r="M89" s="9"/>
      <c r="N89" s="8">
        <f t="shared" si="97"/>
        <v>0</v>
      </c>
      <c r="O89" s="8">
        <f t="shared" si="138"/>
        <v>1</v>
      </c>
      <c r="P89" s="8">
        <f t="shared" si="98"/>
        <v>1</v>
      </c>
      <c r="Q89" s="9"/>
      <c r="R89" s="9"/>
      <c r="S89" s="9"/>
      <c r="T89" s="8">
        <f t="shared" si="99"/>
        <v>0</v>
      </c>
      <c r="U89" s="8">
        <f t="shared" si="100"/>
        <v>1</v>
      </c>
      <c r="V89" s="8">
        <f t="shared" si="101"/>
        <v>1</v>
      </c>
      <c r="W89" s="29"/>
      <c r="X89" s="29"/>
      <c r="Y89" s="29"/>
      <c r="Z89" s="8">
        <f t="shared" si="102"/>
        <v>0</v>
      </c>
      <c r="AA89" s="8">
        <f t="shared" si="103"/>
        <v>1</v>
      </c>
      <c r="AB89" s="8">
        <f t="shared" si="104"/>
        <v>1</v>
      </c>
      <c r="AC89" s="29"/>
      <c r="AD89" s="29"/>
      <c r="AE89" s="29"/>
      <c r="AF89" s="8">
        <f t="shared" si="105"/>
        <v>0</v>
      </c>
      <c r="AG89" s="8">
        <f t="shared" si="106"/>
        <v>1</v>
      </c>
      <c r="AH89" s="8">
        <f t="shared" si="107"/>
        <v>1</v>
      </c>
      <c r="AI89" s="29"/>
      <c r="AJ89" s="29"/>
      <c r="AK89" s="29"/>
      <c r="AL89" s="8">
        <f t="shared" si="108"/>
        <v>0</v>
      </c>
      <c r="AM89" s="8">
        <f t="shared" si="109"/>
        <v>1</v>
      </c>
      <c r="AN89" s="8">
        <f t="shared" si="110"/>
        <v>1</v>
      </c>
      <c r="AO89" s="9"/>
      <c r="AP89" s="9"/>
      <c r="AQ89" s="9"/>
      <c r="AR89" s="8">
        <f t="shared" si="111"/>
        <v>0</v>
      </c>
      <c r="AS89" s="8">
        <f t="shared" si="112"/>
        <v>1</v>
      </c>
      <c r="AT89" s="8">
        <f t="shared" si="113"/>
        <v>1</v>
      </c>
      <c r="AU89" s="9"/>
      <c r="AV89" s="9"/>
      <c r="AW89" s="9"/>
      <c r="AX89" s="8">
        <f t="shared" si="114"/>
        <v>0</v>
      </c>
      <c r="AY89" s="8">
        <f t="shared" si="115"/>
        <v>1</v>
      </c>
      <c r="AZ89" s="8">
        <f t="shared" si="116"/>
        <v>1</v>
      </c>
      <c r="BA89" s="9"/>
      <c r="BB89" s="9"/>
      <c r="BC89" s="9"/>
      <c r="BD89" s="8">
        <f t="shared" si="117"/>
        <v>0</v>
      </c>
      <c r="BE89" s="8">
        <f t="shared" si="118"/>
        <v>1</v>
      </c>
      <c r="BF89" s="8">
        <f t="shared" si="119"/>
        <v>1</v>
      </c>
      <c r="BG89" s="9"/>
      <c r="BH89" s="9"/>
      <c r="BI89" s="9"/>
      <c r="BJ89" s="8">
        <f t="shared" si="120"/>
        <v>0</v>
      </c>
      <c r="BK89" s="8">
        <f t="shared" si="121"/>
        <v>1</v>
      </c>
      <c r="BL89" s="8">
        <f t="shared" si="122"/>
        <v>1</v>
      </c>
      <c r="BM89" s="9"/>
      <c r="BN89" s="9"/>
      <c r="BO89" s="9"/>
      <c r="BP89" s="8">
        <f t="shared" si="123"/>
        <v>0</v>
      </c>
      <c r="BQ89" s="8">
        <f t="shared" si="124"/>
        <v>1</v>
      </c>
      <c r="BR89" s="8">
        <f t="shared" si="125"/>
        <v>1</v>
      </c>
      <c r="BS89" s="9"/>
      <c r="BT89" s="9"/>
      <c r="BU89" s="9"/>
      <c r="BV89" s="8">
        <f t="shared" si="126"/>
        <v>0</v>
      </c>
      <c r="BW89" s="8">
        <f t="shared" si="127"/>
        <v>1</v>
      </c>
      <c r="BX89" s="8">
        <f t="shared" si="128"/>
        <v>1</v>
      </c>
      <c r="BY89" s="9"/>
      <c r="BZ89" s="9"/>
      <c r="CA89" s="9"/>
      <c r="CB89" s="8">
        <f t="shared" si="129"/>
        <v>0</v>
      </c>
      <c r="CC89" s="8">
        <f t="shared" si="130"/>
        <v>1</v>
      </c>
      <c r="CD89" s="8">
        <f t="shared" si="131"/>
        <v>1</v>
      </c>
      <c r="CE89" s="9"/>
      <c r="CF89" s="9"/>
      <c r="CG89" s="9"/>
      <c r="CH89" s="8">
        <f t="shared" si="132"/>
        <v>0</v>
      </c>
      <c r="CI89" s="8">
        <f t="shared" si="133"/>
        <v>1</v>
      </c>
      <c r="CJ89" s="8">
        <f t="shared" si="134"/>
        <v>1</v>
      </c>
      <c r="CK89" s="9"/>
      <c r="CL89" s="9"/>
      <c r="CM89" s="9"/>
      <c r="CN89" s="8">
        <f t="shared" si="135"/>
        <v>0</v>
      </c>
      <c r="CO89" s="8">
        <f t="shared" si="136"/>
        <v>1</v>
      </c>
      <c r="CP89" s="8">
        <f t="shared" si="137"/>
        <v>1</v>
      </c>
    </row>
    <row r="90" spans="1:94" x14ac:dyDescent="0.3">
      <c r="A90" s="6">
        <v>83</v>
      </c>
      <c r="B90" s="22" t="s">
        <v>346</v>
      </c>
      <c r="C90" s="20" t="s">
        <v>249</v>
      </c>
      <c r="D90" s="24" t="s">
        <v>362</v>
      </c>
      <c r="E90" s="16" t="s">
        <v>168</v>
      </c>
      <c r="F90" s="12" t="s">
        <v>397</v>
      </c>
      <c r="G90" s="12" t="s">
        <v>90</v>
      </c>
      <c r="H90" s="7" t="s">
        <v>70</v>
      </c>
      <c r="I90" s="8">
        <v>1</v>
      </c>
      <c r="J90" s="8">
        <v>1</v>
      </c>
      <c r="K90" s="9"/>
      <c r="L90" s="9"/>
      <c r="M90" s="9"/>
      <c r="N90" s="8">
        <f t="shared" si="97"/>
        <v>0</v>
      </c>
      <c r="O90" s="8">
        <f t="shared" si="138"/>
        <v>1</v>
      </c>
      <c r="P90" s="8">
        <f t="shared" si="98"/>
        <v>1</v>
      </c>
      <c r="Q90" s="9"/>
      <c r="R90" s="9"/>
      <c r="S90" s="9"/>
      <c r="T90" s="8">
        <f t="shared" si="99"/>
        <v>0</v>
      </c>
      <c r="U90" s="8">
        <f t="shared" si="100"/>
        <v>1</v>
      </c>
      <c r="V90" s="8">
        <f t="shared" si="101"/>
        <v>1</v>
      </c>
      <c r="W90" s="29"/>
      <c r="X90" s="29"/>
      <c r="Y90" s="29"/>
      <c r="Z90" s="8">
        <f t="shared" si="102"/>
        <v>0</v>
      </c>
      <c r="AA90" s="8">
        <f t="shared" si="103"/>
        <v>1</v>
      </c>
      <c r="AB90" s="8">
        <f t="shared" si="104"/>
        <v>1</v>
      </c>
      <c r="AC90" s="29"/>
      <c r="AD90" s="29"/>
      <c r="AE90" s="29"/>
      <c r="AF90" s="8">
        <f t="shared" si="105"/>
        <v>0</v>
      </c>
      <c r="AG90" s="8">
        <f t="shared" si="106"/>
        <v>1</v>
      </c>
      <c r="AH90" s="8">
        <f t="shared" si="107"/>
        <v>1</v>
      </c>
      <c r="AI90" s="29"/>
      <c r="AJ90" s="29"/>
      <c r="AK90" s="29"/>
      <c r="AL90" s="8">
        <f t="shared" si="108"/>
        <v>0</v>
      </c>
      <c r="AM90" s="8">
        <f t="shared" si="109"/>
        <v>1</v>
      </c>
      <c r="AN90" s="8">
        <f t="shared" si="110"/>
        <v>1</v>
      </c>
      <c r="AO90" s="9"/>
      <c r="AP90" s="9"/>
      <c r="AQ90" s="9"/>
      <c r="AR90" s="8">
        <f t="shared" si="111"/>
        <v>0</v>
      </c>
      <c r="AS90" s="8">
        <f t="shared" si="112"/>
        <v>1</v>
      </c>
      <c r="AT90" s="8">
        <f t="shared" si="113"/>
        <v>1</v>
      </c>
      <c r="AU90" s="9"/>
      <c r="AV90" s="9"/>
      <c r="AW90" s="9"/>
      <c r="AX90" s="8">
        <f t="shared" si="114"/>
        <v>0</v>
      </c>
      <c r="AY90" s="8">
        <f t="shared" si="115"/>
        <v>1</v>
      </c>
      <c r="AZ90" s="8">
        <f t="shared" si="116"/>
        <v>1</v>
      </c>
      <c r="BA90" s="9"/>
      <c r="BB90" s="9"/>
      <c r="BC90" s="9"/>
      <c r="BD90" s="8">
        <f t="shared" si="117"/>
        <v>0</v>
      </c>
      <c r="BE90" s="8">
        <f t="shared" si="118"/>
        <v>1</v>
      </c>
      <c r="BF90" s="8">
        <f t="shared" si="119"/>
        <v>1</v>
      </c>
      <c r="BG90" s="9"/>
      <c r="BH90" s="9"/>
      <c r="BI90" s="9"/>
      <c r="BJ90" s="8">
        <f t="shared" si="120"/>
        <v>0</v>
      </c>
      <c r="BK90" s="8">
        <f t="shared" si="121"/>
        <v>1</v>
      </c>
      <c r="BL90" s="8">
        <f t="shared" si="122"/>
        <v>1</v>
      </c>
      <c r="BM90" s="9"/>
      <c r="BN90" s="9"/>
      <c r="BO90" s="9"/>
      <c r="BP90" s="8">
        <f t="shared" si="123"/>
        <v>0</v>
      </c>
      <c r="BQ90" s="8">
        <f t="shared" si="124"/>
        <v>1</v>
      </c>
      <c r="BR90" s="8">
        <f t="shared" si="125"/>
        <v>1</v>
      </c>
      <c r="BS90" s="9"/>
      <c r="BT90" s="9"/>
      <c r="BU90" s="9"/>
      <c r="BV90" s="8">
        <f t="shared" si="126"/>
        <v>0</v>
      </c>
      <c r="BW90" s="8">
        <f t="shared" si="127"/>
        <v>1</v>
      </c>
      <c r="BX90" s="8">
        <f t="shared" si="128"/>
        <v>1</v>
      </c>
      <c r="BY90" s="9"/>
      <c r="BZ90" s="9"/>
      <c r="CA90" s="9"/>
      <c r="CB90" s="8">
        <f t="shared" si="129"/>
        <v>0</v>
      </c>
      <c r="CC90" s="8">
        <f t="shared" si="130"/>
        <v>1</v>
      </c>
      <c r="CD90" s="8">
        <f t="shared" si="131"/>
        <v>1</v>
      </c>
      <c r="CE90" s="9"/>
      <c r="CF90" s="9"/>
      <c r="CG90" s="9"/>
      <c r="CH90" s="8">
        <f t="shared" si="132"/>
        <v>0</v>
      </c>
      <c r="CI90" s="8">
        <f t="shared" si="133"/>
        <v>1</v>
      </c>
      <c r="CJ90" s="8">
        <f t="shared" si="134"/>
        <v>1</v>
      </c>
      <c r="CK90" s="9"/>
      <c r="CL90" s="9"/>
      <c r="CM90" s="9"/>
      <c r="CN90" s="8">
        <f t="shared" si="135"/>
        <v>0</v>
      </c>
      <c r="CO90" s="8">
        <f t="shared" si="136"/>
        <v>1</v>
      </c>
      <c r="CP90" s="8">
        <f t="shared" si="137"/>
        <v>1</v>
      </c>
    </row>
    <row r="91" spans="1:94" x14ac:dyDescent="0.3">
      <c r="A91" s="6">
        <v>84</v>
      </c>
      <c r="B91" s="22" t="s">
        <v>347</v>
      </c>
      <c r="C91" s="20" t="s">
        <v>250</v>
      </c>
      <c r="D91" s="24" t="s">
        <v>362</v>
      </c>
      <c r="E91" s="16" t="s">
        <v>169</v>
      </c>
      <c r="F91" s="12" t="s">
        <v>397</v>
      </c>
      <c r="G91" s="12" t="s">
        <v>90</v>
      </c>
      <c r="H91" s="7" t="s">
        <v>70</v>
      </c>
      <c r="I91" s="8">
        <v>1</v>
      </c>
      <c r="J91" s="8">
        <v>1</v>
      </c>
      <c r="K91" s="9"/>
      <c r="L91" s="9"/>
      <c r="M91" s="9"/>
      <c r="N91" s="8">
        <f t="shared" si="97"/>
        <v>0</v>
      </c>
      <c r="O91" s="8">
        <f t="shared" si="138"/>
        <v>1</v>
      </c>
      <c r="P91" s="8">
        <f t="shared" si="98"/>
        <v>1</v>
      </c>
      <c r="Q91" s="9"/>
      <c r="R91" s="9"/>
      <c r="S91" s="9"/>
      <c r="T91" s="8">
        <f t="shared" si="99"/>
        <v>0</v>
      </c>
      <c r="U91" s="8">
        <f t="shared" si="100"/>
        <v>1</v>
      </c>
      <c r="V91" s="8">
        <f t="shared" si="101"/>
        <v>1</v>
      </c>
      <c r="W91" s="29"/>
      <c r="X91" s="29"/>
      <c r="Y91" s="29"/>
      <c r="Z91" s="8">
        <f t="shared" si="102"/>
        <v>0</v>
      </c>
      <c r="AA91" s="8">
        <f t="shared" si="103"/>
        <v>1</v>
      </c>
      <c r="AB91" s="8">
        <f t="shared" si="104"/>
        <v>1</v>
      </c>
      <c r="AC91" s="29"/>
      <c r="AD91" s="29"/>
      <c r="AE91" s="29"/>
      <c r="AF91" s="8">
        <f t="shared" si="105"/>
        <v>0</v>
      </c>
      <c r="AG91" s="8">
        <f t="shared" si="106"/>
        <v>1</v>
      </c>
      <c r="AH91" s="8">
        <f t="shared" si="107"/>
        <v>1</v>
      </c>
      <c r="AI91" s="29"/>
      <c r="AJ91" s="29"/>
      <c r="AK91" s="29"/>
      <c r="AL91" s="8">
        <f t="shared" si="108"/>
        <v>0</v>
      </c>
      <c r="AM91" s="8">
        <f t="shared" si="109"/>
        <v>1</v>
      </c>
      <c r="AN91" s="8">
        <f t="shared" si="110"/>
        <v>1</v>
      </c>
      <c r="AO91" s="9"/>
      <c r="AP91" s="9"/>
      <c r="AQ91" s="9"/>
      <c r="AR91" s="8">
        <f t="shared" si="111"/>
        <v>0</v>
      </c>
      <c r="AS91" s="8">
        <f t="shared" si="112"/>
        <v>1</v>
      </c>
      <c r="AT91" s="8">
        <f t="shared" si="113"/>
        <v>1</v>
      </c>
      <c r="AU91" s="9"/>
      <c r="AV91" s="9"/>
      <c r="AW91" s="9"/>
      <c r="AX91" s="8">
        <f t="shared" si="114"/>
        <v>0</v>
      </c>
      <c r="AY91" s="8">
        <f t="shared" si="115"/>
        <v>1</v>
      </c>
      <c r="AZ91" s="8">
        <f t="shared" si="116"/>
        <v>1</v>
      </c>
      <c r="BA91" s="9"/>
      <c r="BB91" s="9"/>
      <c r="BC91" s="9"/>
      <c r="BD91" s="8">
        <f t="shared" si="117"/>
        <v>0</v>
      </c>
      <c r="BE91" s="8">
        <f t="shared" si="118"/>
        <v>1</v>
      </c>
      <c r="BF91" s="8">
        <f t="shared" si="119"/>
        <v>1</v>
      </c>
      <c r="BG91" s="9"/>
      <c r="BH91" s="9"/>
      <c r="BI91" s="9"/>
      <c r="BJ91" s="8">
        <f t="shared" si="120"/>
        <v>0</v>
      </c>
      <c r="BK91" s="8">
        <f t="shared" si="121"/>
        <v>1</v>
      </c>
      <c r="BL91" s="8">
        <f t="shared" si="122"/>
        <v>1</v>
      </c>
      <c r="BM91" s="9"/>
      <c r="BN91" s="9"/>
      <c r="BO91" s="9"/>
      <c r="BP91" s="8">
        <f t="shared" si="123"/>
        <v>0</v>
      </c>
      <c r="BQ91" s="8">
        <f t="shared" si="124"/>
        <v>1</v>
      </c>
      <c r="BR91" s="8">
        <f t="shared" si="125"/>
        <v>1</v>
      </c>
      <c r="BS91" s="9"/>
      <c r="BT91" s="9"/>
      <c r="BU91" s="9"/>
      <c r="BV91" s="8">
        <f t="shared" si="126"/>
        <v>0</v>
      </c>
      <c r="BW91" s="8">
        <f t="shared" si="127"/>
        <v>1</v>
      </c>
      <c r="BX91" s="8">
        <f t="shared" si="128"/>
        <v>1</v>
      </c>
      <c r="BY91" s="9"/>
      <c r="BZ91" s="9"/>
      <c r="CA91" s="9"/>
      <c r="CB91" s="8">
        <f t="shared" si="129"/>
        <v>0</v>
      </c>
      <c r="CC91" s="8">
        <f t="shared" si="130"/>
        <v>1</v>
      </c>
      <c r="CD91" s="8">
        <f t="shared" si="131"/>
        <v>1</v>
      </c>
      <c r="CE91" s="9"/>
      <c r="CF91" s="9"/>
      <c r="CG91" s="9"/>
      <c r="CH91" s="8">
        <f t="shared" si="132"/>
        <v>0</v>
      </c>
      <c r="CI91" s="8">
        <f t="shared" si="133"/>
        <v>1</v>
      </c>
      <c r="CJ91" s="8">
        <f t="shared" si="134"/>
        <v>1</v>
      </c>
      <c r="CK91" s="9"/>
      <c r="CL91" s="9"/>
      <c r="CM91" s="9"/>
      <c r="CN91" s="8">
        <f t="shared" si="135"/>
        <v>0</v>
      </c>
      <c r="CO91" s="8">
        <f t="shared" si="136"/>
        <v>1</v>
      </c>
      <c r="CP91" s="8">
        <f t="shared" si="137"/>
        <v>1</v>
      </c>
    </row>
    <row r="92" spans="1:94" x14ac:dyDescent="0.3">
      <c r="A92" s="6">
        <v>85</v>
      </c>
      <c r="B92" s="22" t="s">
        <v>348</v>
      </c>
      <c r="C92" s="20" t="s">
        <v>251</v>
      </c>
      <c r="D92" s="24" t="s">
        <v>362</v>
      </c>
      <c r="E92" s="16" t="s">
        <v>170</v>
      </c>
      <c r="F92" s="12" t="s">
        <v>397</v>
      </c>
      <c r="G92" s="12" t="s">
        <v>90</v>
      </c>
      <c r="H92" s="7" t="s">
        <v>70</v>
      </c>
      <c r="I92" s="8">
        <v>1</v>
      </c>
      <c r="J92" s="8">
        <v>1</v>
      </c>
      <c r="K92" s="9"/>
      <c r="L92" s="9"/>
      <c r="M92" s="9"/>
      <c r="N92" s="8">
        <f t="shared" si="97"/>
        <v>0</v>
      </c>
      <c r="O92" s="8">
        <f t="shared" si="138"/>
        <v>1</v>
      </c>
      <c r="P92" s="8">
        <f t="shared" si="98"/>
        <v>1</v>
      </c>
      <c r="Q92" s="9"/>
      <c r="R92" s="9"/>
      <c r="S92" s="9"/>
      <c r="T92" s="8">
        <f t="shared" si="99"/>
        <v>0</v>
      </c>
      <c r="U92" s="8">
        <f t="shared" si="100"/>
        <v>1</v>
      </c>
      <c r="V92" s="8">
        <f t="shared" si="101"/>
        <v>1</v>
      </c>
      <c r="W92" s="29"/>
      <c r="X92" s="29"/>
      <c r="Y92" s="29"/>
      <c r="Z92" s="8">
        <f t="shared" si="102"/>
        <v>0</v>
      </c>
      <c r="AA92" s="8">
        <f t="shared" si="103"/>
        <v>1</v>
      </c>
      <c r="AB92" s="8">
        <f t="shared" si="104"/>
        <v>1</v>
      </c>
      <c r="AC92" s="29"/>
      <c r="AD92" s="29"/>
      <c r="AE92" s="29"/>
      <c r="AF92" s="8">
        <f t="shared" si="105"/>
        <v>0</v>
      </c>
      <c r="AG92" s="8">
        <f t="shared" si="106"/>
        <v>1</v>
      </c>
      <c r="AH92" s="8">
        <f t="shared" si="107"/>
        <v>1</v>
      </c>
      <c r="AI92" s="29"/>
      <c r="AJ92" s="29"/>
      <c r="AK92" s="29"/>
      <c r="AL92" s="8">
        <f t="shared" si="108"/>
        <v>0</v>
      </c>
      <c r="AM92" s="8">
        <f t="shared" si="109"/>
        <v>1</v>
      </c>
      <c r="AN92" s="8">
        <f t="shared" si="110"/>
        <v>1</v>
      </c>
      <c r="AO92" s="9"/>
      <c r="AP92" s="9"/>
      <c r="AQ92" s="9"/>
      <c r="AR92" s="8">
        <f t="shared" si="111"/>
        <v>0</v>
      </c>
      <c r="AS92" s="8">
        <f t="shared" si="112"/>
        <v>1</v>
      </c>
      <c r="AT92" s="8">
        <f t="shared" si="113"/>
        <v>1</v>
      </c>
      <c r="AU92" s="9"/>
      <c r="AV92" s="9"/>
      <c r="AW92" s="9"/>
      <c r="AX92" s="8">
        <f t="shared" si="114"/>
        <v>0</v>
      </c>
      <c r="AY92" s="8">
        <f t="shared" si="115"/>
        <v>1</v>
      </c>
      <c r="AZ92" s="8">
        <f t="shared" si="116"/>
        <v>1</v>
      </c>
      <c r="BA92" s="9"/>
      <c r="BB92" s="9"/>
      <c r="BC92" s="9"/>
      <c r="BD92" s="8">
        <f t="shared" si="117"/>
        <v>0</v>
      </c>
      <c r="BE92" s="8">
        <f t="shared" si="118"/>
        <v>1</v>
      </c>
      <c r="BF92" s="8">
        <f t="shared" si="119"/>
        <v>1</v>
      </c>
      <c r="BG92" s="9"/>
      <c r="BH92" s="9"/>
      <c r="BI92" s="9"/>
      <c r="BJ92" s="8">
        <f t="shared" si="120"/>
        <v>0</v>
      </c>
      <c r="BK92" s="8">
        <f t="shared" si="121"/>
        <v>1</v>
      </c>
      <c r="BL92" s="8">
        <f t="shared" si="122"/>
        <v>1</v>
      </c>
      <c r="BM92" s="9"/>
      <c r="BN92" s="9"/>
      <c r="BO92" s="9"/>
      <c r="BP92" s="8">
        <f t="shared" si="123"/>
        <v>0</v>
      </c>
      <c r="BQ92" s="8">
        <f t="shared" si="124"/>
        <v>1</v>
      </c>
      <c r="BR92" s="8">
        <f t="shared" si="125"/>
        <v>1</v>
      </c>
      <c r="BS92" s="9"/>
      <c r="BT92" s="9"/>
      <c r="BU92" s="9"/>
      <c r="BV92" s="8">
        <f t="shared" si="126"/>
        <v>0</v>
      </c>
      <c r="BW92" s="8">
        <f t="shared" si="127"/>
        <v>1</v>
      </c>
      <c r="BX92" s="8">
        <f t="shared" si="128"/>
        <v>1</v>
      </c>
      <c r="BY92" s="9"/>
      <c r="BZ92" s="9"/>
      <c r="CA92" s="9"/>
      <c r="CB92" s="8">
        <f t="shared" si="129"/>
        <v>0</v>
      </c>
      <c r="CC92" s="8">
        <f t="shared" si="130"/>
        <v>1</v>
      </c>
      <c r="CD92" s="8">
        <f t="shared" si="131"/>
        <v>1</v>
      </c>
      <c r="CE92" s="9"/>
      <c r="CF92" s="9"/>
      <c r="CG92" s="9"/>
      <c r="CH92" s="8">
        <f t="shared" si="132"/>
        <v>0</v>
      </c>
      <c r="CI92" s="8">
        <f t="shared" si="133"/>
        <v>1</v>
      </c>
      <c r="CJ92" s="8">
        <f t="shared" si="134"/>
        <v>1</v>
      </c>
      <c r="CK92" s="9"/>
      <c r="CL92" s="9"/>
      <c r="CM92" s="9"/>
      <c r="CN92" s="8">
        <f t="shared" si="135"/>
        <v>0</v>
      </c>
      <c r="CO92" s="8">
        <f t="shared" si="136"/>
        <v>1</v>
      </c>
      <c r="CP92" s="8">
        <f t="shared" si="137"/>
        <v>1</v>
      </c>
    </row>
    <row r="93" spans="1:94" x14ac:dyDescent="0.3">
      <c r="A93" s="6">
        <v>86</v>
      </c>
      <c r="B93" s="22" t="s">
        <v>349</v>
      </c>
      <c r="C93" s="20" t="s">
        <v>252</v>
      </c>
      <c r="D93" s="25" t="s">
        <v>363</v>
      </c>
      <c r="E93" s="16">
        <v>7000143270</v>
      </c>
      <c r="F93" s="12" t="s">
        <v>91</v>
      </c>
      <c r="G93" s="12" t="s">
        <v>91</v>
      </c>
      <c r="H93" s="7" t="s">
        <v>70</v>
      </c>
      <c r="I93" s="8">
        <v>8</v>
      </c>
      <c r="J93" s="8">
        <v>8</v>
      </c>
      <c r="K93" s="9"/>
      <c r="L93" s="9"/>
      <c r="M93" s="9"/>
      <c r="N93" s="8">
        <f t="shared" si="97"/>
        <v>0</v>
      </c>
      <c r="O93" s="8">
        <f t="shared" si="138"/>
        <v>8</v>
      </c>
      <c r="P93" s="8">
        <f t="shared" si="98"/>
        <v>8</v>
      </c>
      <c r="Q93" s="9"/>
      <c r="R93" s="9"/>
      <c r="S93" s="9"/>
      <c r="T93" s="8">
        <f t="shared" si="99"/>
        <v>0</v>
      </c>
      <c r="U93" s="8">
        <f t="shared" si="100"/>
        <v>8</v>
      </c>
      <c r="V93" s="8">
        <f t="shared" si="101"/>
        <v>8</v>
      </c>
      <c r="W93" s="29"/>
      <c r="X93" s="29"/>
      <c r="Y93" s="29"/>
      <c r="Z93" s="8">
        <f t="shared" si="102"/>
        <v>0</v>
      </c>
      <c r="AA93" s="8">
        <f t="shared" si="103"/>
        <v>8</v>
      </c>
      <c r="AB93" s="8">
        <f t="shared" si="104"/>
        <v>8</v>
      </c>
      <c r="AC93" s="29"/>
      <c r="AD93" s="29"/>
      <c r="AE93" s="29"/>
      <c r="AF93" s="8">
        <f t="shared" si="105"/>
        <v>0</v>
      </c>
      <c r="AG93" s="8">
        <f t="shared" si="106"/>
        <v>8</v>
      </c>
      <c r="AH93" s="8">
        <f t="shared" si="107"/>
        <v>8</v>
      </c>
      <c r="AI93" s="29"/>
      <c r="AJ93" s="29"/>
      <c r="AK93" s="29"/>
      <c r="AL93" s="8">
        <f t="shared" si="108"/>
        <v>0</v>
      </c>
      <c r="AM93" s="8">
        <f t="shared" si="109"/>
        <v>8</v>
      </c>
      <c r="AN93" s="8">
        <f t="shared" si="110"/>
        <v>8</v>
      </c>
      <c r="AO93" s="9"/>
      <c r="AP93" s="9"/>
      <c r="AQ93" s="9"/>
      <c r="AR93" s="8">
        <f t="shared" si="111"/>
        <v>0</v>
      </c>
      <c r="AS93" s="8">
        <f t="shared" si="112"/>
        <v>8</v>
      </c>
      <c r="AT93" s="8">
        <f t="shared" si="113"/>
        <v>8</v>
      </c>
      <c r="AU93" s="9"/>
      <c r="AV93" s="9"/>
      <c r="AW93" s="9"/>
      <c r="AX93" s="8">
        <f t="shared" si="114"/>
        <v>0</v>
      </c>
      <c r="AY93" s="8">
        <f t="shared" si="115"/>
        <v>8</v>
      </c>
      <c r="AZ93" s="8">
        <f t="shared" si="116"/>
        <v>8</v>
      </c>
      <c r="BA93" s="9"/>
      <c r="BB93" s="9"/>
      <c r="BC93" s="9"/>
      <c r="BD93" s="8">
        <f t="shared" si="117"/>
        <v>0</v>
      </c>
      <c r="BE93" s="8">
        <f t="shared" si="118"/>
        <v>8</v>
      </c>
      <c r="BF93" s="8">
        <f t="shared" si="119"/>
        <v>8</v>
      </c>
      <c r="BG93" s="9"/>
      <c r="BH93" s="9"/>
      <c r="BI93" s="9"/>
      <c r="BJ93" s="8">
        <f t="shared" si="120"/>
        <v>0</v>
      </c>
      <c r="BK93" s="8">
        <f t="shared" si="121"/>
        <v>8</v>
      </c>
      <c r="BL93" s="8">
        <f t="shared" si="122"/>
        <v>8</v>
      </c>
      <c r="BM93" s="9"/>
      <c r="BN93" s="9"/>
      <c r="BO93" s="9"/>
      <c r="BP93" s="8">
        <f t="shared" si="123"/>
        <v>0</v>
      </c>
      <c r="BQ93" s="8">
        <f t="shared" si="124"/>
        <v>8</v>
      </c>
      <c r="BR93" s="8">
        <f t="shared" si="125"/>
        <v>8</v>
      </c>
      <c r="BS93" s="9"/>
      <c r="BT93" s="9"/>
      <c r="BU93" s="9"/>
      <c r="BV93" s="8">
        <f t="shared" si="126"/>
        <v>0</v>
      </c>
      <c r="BW93" s="8">
        <f t="shared" si="127"/>
        <v>8</v>
      </c>
      <c r="BX93" s="8">
        <f t="shared" si="128"/>
        <v>8</v>
      </c>
      <c r="BY93" s="9"/>
      <c r="BZ93" s="9"/>
      <c r="CA93" s="9"/>
      <c r="CB93" s="8">
        <f t="shared" si="129"/>
        <v>0</v>
      </c>
      <c r="CC93" s="8">
        <f t="shared" si="130"/>
        <v>8</v>
      </c>
      <c r="CD93" s="8">
        <f t="shared" si="131"/>
        <v>8</v>
      </c>
      <c r="CE93" s="9"/>
      <c r="CF93" s="9"/>
      <c r="CG93" s="9"/>
      <c r="CH93" s="8">
        <f t="shared" si="132"/>
        <v>0</v>
      </c>
      <c r="CI93" s="8">
        <f t="shared" si="133"/>
        <v>8</v>
      </c>
      <c r="CJ93" s="8">
        <f t="shared" si="134"/>
        <v>8</v>
      </c>
      <c r="CK93" s="9"/>
      <c r="CL93" s="9"/>
      <c r="CM93" s="9"/>
      <c r="CN93" s="8">
        <f t="shared" si="135"/>
        <v>0</v>
      </c>
      <c r="CO93" s="8">
        <f t="shared" si="136"/>
        <v>8</v>
      </c>
      <c r="CP93" s="8">
        <f t="shared" si="137"/>
        <v>8</v>
      </c>
    </row>
    <row r="94" spans="1:94" x14ac:dyDescent="0.3">
      <c r="A94" s="6">
        <v>87</v>
      </c>
      <c r="B94" s="22" t="s">
        <v>350</v>
      </c>
      <c r="C94" s="20" t="s">
        <v>253</v>
      </c>
      <c r="D94" s="25" t="s">
        <v>364</v>
      </c>
      <c r="E94" s="16" t="s">
        <v>171</v>
      </c>
      <c r="F94" s="12" t="s">
        <v>91</v>
      </c>
      <c r="G94" s="12" t="s">
        <v>91</v>
      </c>
      <c r="H94" s="7" t="s">
        <v>70</v>
      </c>
      <c r="I94" s="8">
        <v>157.5</v>
      </c>
      <c r="J94" s="8">
        <v>157.5</v>
      </c>
      <c r="K94" s="9"/>
      <c r="L94" s="9"/>
      <c r="M94" s="9"/>
      <c r="N94" s="8">
        <f t="shared" si="97"/>
        <v>0</v>
      </c>
      <c r="O94" s="8">
        <f t="shared" si="138"/>
        <v>157.5</v>
      </c>
      <c r="P94" s="8">
        <f t="shared" si="98"/>
        <v>157.5</v>
      </c>
      <c r="Q94" s="9"/>
      <c r="R94" s="9"/>
      <c r="S94" s="9"/>
      <c r="T94" s="8">
        <f t="shared" si="99"/>
        <v>0</v>
      </c>
      <c r="U94" s="8">
        <f t="shared" si="100"/>
        <v>157.5</v>
      </c>
      <c r="V94" s="8">
        <f t="shared" si="101"/>
        <v>157.5</v>
      </c>
      <c r="W94" s="29"/>
      <c r="X94" s="29"/>
      <c r="Y94" s="29"/>
      <c r="Z94" s="8">
        <f t="shared" si="102"/>
        <v>0</v>
      </c>
      <c r="AA94" s="8">
        <f t="shared" si="103"/>
        <v>157.5</v>
      </c>
      <c r="AB94" s="8">
        <f t="shared" si="104"/>
        <v>157.5</v>
      </c>
      <c r="AC94" s="29"/>
      <c r="AD94" s="29"/>
      <c r="AE94" s="29"/>
      <c r="AF94" s="8">
        <f t="shared" si="105"/>
        <v>0</v>
      </c>
      <c r="AG94" s="8">
        <f t="shared" si="106"/>
        <v>157.5</v>
      </c>
      <c r="AH94" s="8">
        <f t="shared" si="107"/>
        <v>157.5</v>
      </c>
      <c r="AI94" s="29"/>
      <c r="AJ94" s="29">
        <v>3</v>
      </c>
      <c r="AK94" s="29">
        <v>0</v>
      </c>
      <c r="AL94" s="8">
        <f t="shared" si="108"/>
        <v>3</v>
      </c>
      <c r="AM94" s="8">
        <f t="shared" si="109"/>
        <v>154.5</v>
      </c>
      <c r="AN94" s="8">
        <f t="shared" si="110"/>
        <v>154.5</v>
      </c>
      <c r="AO94" s="9"/>
      <c r="AP94" s="9"/>
      <c r="AQ94" s="9"/>
      <c r="AR94" s="8">
        <f t="shared" si="111"/>
        <v>0</v>
      </c>
      <c r="AS94" s="8">
        <f t="shared" si="112"/>
        <v>154.5</v>
      </c>
      <c r="AT94" s="8">
        <f t="shared" si="113"/>
        <v>154.5</v>
      </c>
      <c r="AU94" s="9"/>
      <c r="AV94" s="9"/>
      <c r="AW94" s="9"/>
      <c r="AX94" s="8">
        <f t="shared" si="114"/>
        <v>0</v>
      </c>
      <c r="AY94" s="8">
        <f t="shared" si="115"/>
        <v>154.5</v>
      </c>
      <c r="AZ94" s="8">
        <f t="shared" si="116"/>
        <v>154.5</v>
      </c>
      <c r="BA94" s="9"/>
      <c r="BB94" s="9"/>
      <c r="BC94" s="9"/>
      <c r="BD94" s="8">
        <f t="shared" si="117"/>
        <v>0</v>
      </c>
      <c r="BE94" s="8">
        <f t="shared" si="118"/>
        <v>154.5</v>
      </c>
      <c r="BF94" s="8">
        <f t="shared" si="119"/>
        <v>154.5</v>
      </c>
      <c r="BG94" s="9"/>
      <c r="BH94" s="9"/>
      <c r="BI94" s="9"/>
      <c r="BJ94" s="8">
        <f t="shared" si="120"/>
        <v>0</v>
      </c>
      <c r="BK94" s="8">
        <f t="shared" si="121"/>
        <v>154.5</v>
      </c>
      <c r="BL94" s="8">
        <f t="shared" si="122"/>
        <v>154.5</v>
      </c>
      <c r="BM94" s="9"/>
      <c r="BN94" s="9"/>
      <c r="BO94" s="9"/>
      <c r="BP94" s="8">
        <f t="shared" si="123"/>
        <v>0</v>
      </c>
      <c r="BQ94" s="8">
        <f t="shared" si="124"/>
        <v>154.5</v>
      </c>
      <c r="BR94" s="8">
        <f t="shared" si="125"/>
        <v>154.5</v>
      </c>
      <c r="BS94" s="9"/>
      <c r="BT94" s="9"/>
      <c r="BU94" s="9"/>
      <c r="BV94" s="8">
        <f t="shared" si="126"/>
        <v>0</v>
      </c>
      <c r="BW94" s="8">
        <f t="shared" si="127"/>
        <v>154.5</v>
      </c>
      <c r="BX94" s="8">
        <f t="shared" si="128"/>
        <v>154.5</v>
      </c>
      <c r="BY94" s="9"/>
      <c r="BZ94" s="9">
        <v>3.5</v>
      </c>
      <c r="CA94" s="9">
        <v>0</v>
      </c>
      <c r="CB94" s="8">
        <f t="shared" si="129"/>
        <v>3.5</v>
      </c>
      <c r="CC94" s="8">
        <f t="shared" si="130"/>
        <v>151</v>
      </c>
      <c r="CD94" s="8">
        <f t="shared" si="131"/>
        <v>151</v>
      </c>
      <c r="CE94" s="9"/>
      <c r="CF94" s="9"/>
      <c r="CG94" s="9"/>
      <c r="CH94" s="8">
        <f t="shared" si="132"/>
        <v>0</v>
      </c>
      <c r="CI94" s="8">
        <f t="shared" si="133"/>
        <v>151</v>
      </c>
      <c r="CJ94" s="8">
        <f t="shared" si="134"/>
        <v>151</v>
      </c>
      <c r="CK94" s="9"/>
      <c r="CL94" s="9"/>
      <c r="CM94" s="9"/>
      <c r="CN94" s="8">
        <f t="shared" si="135"/>
        <v>0</v>
      </c>
      <c r="CO94" s="8">
        <f t="shared" si="136"/>
        <v>151</v>
      </c>
      <c r="CP94" s="8">
        <f t="shared" si="137"/>
        <v>151</v>
      </c>
    </row>
    <row r="95" spans="1:94" x14ac:dyDescent="0.3">
      <c r="A95" s="6">
        <v>88</v>
      </c>
      <c r="B95" s="22" t="s">
        <v>351</v>
      </c>
      <c r="C95" s="20" t="s">
        <v>254</v>
      </c>
      <c r="D95" s="25" t="s">
        <v>364</v>
      </c>
      <c r="E95" s="16" t="s">
        <v>169</v>
      </c>
      <c r="F95" s="12" t="s">
        <v>91</v>
      </c>
      <c r="G95" s="12" t="s">
        <v>91</v>
      </c>
      <c r="H95" s="7" t="s">
        <v>70</v>
      </c>
      <c r="I95" s="8">
        <v>69</v>
      </c>
      <c r="J95" s="8">
        <v>69</v>
      </c>
      <c r="K95" s="9"/>
      <c r="L95" s="9"/>
      <c r="M95" s="9"/>
      <c r="N95" s="8">
        <f t="shared" si="97"/>
        <v>0</v>
      </c>
      <c r="O95" s="8">
        <f t="shared" si="138"/>
        <v>69</v>
      </c>
      <c r="P95" s="8">
        <f t="shared" si="98"/>
        <v>69</v>
      </c>
      <c r="Q95" s="9"/>
      <c r="R95" s="9"/>
      <c r="S95" s="9"/>
      <c r="T95" s="8">
        <f t="shared" si="99"/>
        <v>0</v>
      </c>
      <c r="U95" s="8">
        <f t="shared" si="100"/>
        <v>69</v>
      </c>
      <c r="V95" s="8">
        <f t="shared" si="101"/>
        <v>69</v>
      </c>
      <c r="W95" s="29"/>
      <c r="X95" s="29"/>
      <c r="Y95" s="29"/>
      <c r="Z95" s="8">
        <f t="shared" si="102"/>
        <v>0</v>
      </c>
      <c r="AA95" s="8">
        <f t="shared" si="103"/>
        <v>69</v>
      </c>
      <c r="AB95" s="8">
        <f t="shared" si="104"/>
        <v>69</v>
      </c>
      <c r="AC95" s="29"/>
      <c r="AD95" s="29"/>
      <c r="AE95" s="29"/>
      <c r="AF95" s="8">
        <f t="shared" si="105"/>
        <v>0</v>
      </c>
      <c r="AG95" s="8">
        <f t="shared" si="106"/>
        <v>69</v>
      </c>
      <c r="AH95" s="8">
        <f t="shared" si="107"/>
        <v>69</v>
      </c>
      <c r="AI95" s="29"/>
      <c r="AJ95" s="29">
        <v>1.5</v>
      </c>
      <c r="AK95" s="29">
        <v>0</v>
      </c>
      <c r="AL95" s="8">
        <f t="shared" si="108"/>
        <v>1.5</v>
      </c>
      <c r="AM95" s="8">
        <f t="shared" si="109"/>
        <v>67.5</v>
      </c>
      <c r="AN95" s="8">
        <f t="shared" si="110"/>
        <v>67.5</v>
      </c>
      <c r="AO95" s="9"/>
      <c r="AP95" s="9"/>
      <c r="AQ95" s="9"/>
      <c r="AR95" s="8">
        <f t="shared" si="111"/>
        <v>0</v>
      </c>
      <c r="AS95" s="8">
        <f t="shared" si="112"/>
        <v>67.5</v>
      </c>
      <c r="AT95" s="8">
        <f t="shared" si="113"/>
        <v>67.5</v>
      </c>
      <c r="AU95" s="9"/>
      <c r="AV95" s="9"/>
      <c r="AW95" s="9"/>
      <c r="AX95" s="8">
        <f t="shared" si="114"/>
        <v>0</v>
      </c>
      <c r="AY95" s="8">
        <f t="shared" si="115"/>
        <v>67.5</v>
      </c>
      <c r="AZ95" s="8">
        <f t="shared" si="116"/>
        <v>67.5</v>
      </c>
      <c r="BA95" s="9"/>
      <c r="BB95" s="9"/>
      <c r="BC95" s="9"/>
      <c r="BD95" s="8">
        <f t="shared" si="117"/>
        <v>0</v>
      </c>
      <c r="BE95" s="8">
        <f t="shared" si="118"/>
        <v>67.5</v>
      </c>
      <c r="BF95" s="8">
        <f t="shared" si="119"/>
        <v>67.5</v>
      </c>
      <c r="BG95" s="9"/>
      <c r="BH95" s="9"/>
      <c r="BI95" s="9"/>
      <c r="BJ95" s="8">
        <f t="shared" si="120"/>
        <v>0</v>
      </c>
      <c r="BK95" s="8">
        <f t="shared" si="121"/>
        <v>67.5</v>
      </c>
      <c r="BL95" s="8">
        <f t="shared" si="122"/>
        <v>67.5</v>
      </c>
      <c r="BM95" s="9"/>
      <c r="BN95" s="9"/>
      <c r="BO95" s="9"/>
      <c r="BP95" s="8">
        <f t="shared" si="123"/>
        <v>0</v>
      </c>
      <c r="BQ95" s="8">
        <f t="shared" si="124"/>
        <v>67.5</v>
      </c>
      <c r="BR95" s="8">
        <f t="shared" si="125"/>
        <v>67.5</v>
      </c>
      <c r="BS95" s="9"/>
      <c r="BT95" s="9"/>
      <c r="BU95" s="9"/>
      <c r="BV95" s="8">
        <f t="shared" si="126"/>
        <v>0</v>
      </c>
      <c r="BW95" s="8">
        <f t="shared" si="127"/>
        <v>67.5</v>
      </c>
      <c r="BX95" s="8">
        <f t="shared" si="128"/>
        <v>67.5</v>
      </c>
      <c r="BY95" s="9"/>
      <c r="BZ95" s="9">
        <v>1.5</v>
      </c>
      <c r="CA95" s="9">
        <v>0</v>
      </c>
      <c r="CB95" s="8">
        <f t="shared" si="129"/>
        <v>1.5</v>
      </c>
      <c r="CC95" s="8">
        <f t="shared" si="130"/>
        <v>66</v>
      </c>
      <c r="CD95" s="8">
        <f t="shared" si="131"/>
        <v>66</v>
      </c>
      <c r="CE95" s="9"/>
      <c r="CF95" s="9"/>
      <c r="CG95" s="9"/>
      <c r="CH95" s="8">
        <f t="shared" si="132"/>
        <v>0</v>
      </c>
      <c r="CI95" s="8">
        <f t="shared" si="133"/>
        <v>66</v>
      </c>
      <c r="CJ95" s="8">
        <f t="shared" si="134"/>
        <v>66</v>
      </c>
      <c r="CK95" s="9"/>
      <c r="CL95" s="9"/>
      <c r="CM95" s="9"/>
      <c r="CN95" s="8">
        <f t="shared" si="135"/>
        <v>0</v>
      </c>
      <c r="CO95" s="8">
        <f t="shared" si="136"/>
        <v>66</v>
      </c>
      <c r="CP95" s="8">
        <f t="shared" si="137"/>
        <v>66</v>
      </c>
    </row>
    <row r="96" spans="1:94" x14ac:dyDescent="0.3">
      <c r="A96" s="6">
        <v>89</v>
      </c>
      <c r="B96" s="22" t="s">
        <v>352</v>
      </c>
      <c r="C96" s="20" t="s">
        <v>255</v>
      </c>
      <c r="D96" s="24" t="s">
        <v>362</v>
      </c>
      <c r="E96" s="16" t="s">
        <v>172</v>
      </c>
      <c r="F96" s="12" t="s">
        <v>384</v>
      </c>
      <c r="G96" s="12" t="s">
        <v>79</v>
      </c>
      <c r="H96" s="7" t="s">
        <v>70</v>
      </c>
      <c r="I96" s="8">
        <v>8760</v>
      </c>
      <c r="J96" s="27">
        <v>8760</v>
      </c>
      <c r="K96" s="9"/>
      <c r="L96" s="9">
        <v>30</v>
      </c>
      <c r="M96" s="9">
        <v>0</v>
      </c>
      <c r="N96" s="8">
        <f t="shared" si="97"/>
        <v>30</v>
      </c>
      <c r="O96" s="8">
        <f t="shared" si="138"/>
        <v>8730</v>
      </c>
      <c r="P96" s="8">
        <f t="shared" si="98"/>
        <v>8730</v>
      </c>
      <c r="Q96" s="9"/>
      <c r="R96" s="9"/>
      <c r="S96" s="9"/>
      <c r="T96" s="8">
        <f t="shared" si="99"/>
        <v>0</v>
      </c>
      <c r="U96" s="8">
        <f t="shared" si="100"/>
        <v>8730</v>
      </c>
      <c r="V96" s="8">
        <f t="shared" si="101"/>
        <v>8730</v>
      </c>
      <c r="W96" s="29"/>
      <c r="X96" s="29">
        <v>60</v>
      </c>
      <c r="Y96" s="29">
        <v>0</v>
      </c>
      <c r="Z96" s="8">
        <f t="shared" si="102"/>
        <v>60</v>
      </c>
      <c r="AA96" s="8">
        <f t="shared" si="103"/>
        <v>8670</v>
      </c>
      <c r="AB96" s="8">
        <f t="shared" si="104"/>
        <v>8670</v>
      </c>
      <c r="AC96" s="29"/>
      <c r="AD96" s="29">
        <v>90</v>
      </c>
      <c r="AE96" s="29">
        <v>0</v>
      </c>
      <c r="AF96" s="8">
        <f t="shared" si="105"/>
        <v>90</v>
      </c>
      <c r="AG96" s="8">
        <f t="shared" si="106"/>
        <v>8580</v>
      </c>
      <c r="AH96" s="8">
        <f t="shared" si="107"/>
        <v>8580</v>
      </c>
      <c r="AI96" s="29"/>
      <c r="AJ96" s="29">
        <v>90</v>
      </c>
      <c r="AK96" s="29">
        <v>0</v>
      </c>
      <c r="AL96" s="8">
        <f t="shared" si="108"/>
        <v>90</v>
      </c>
      <c r="AM96" s="8">
        <f t="shared" si="109"/>
        <v>8490</v>
      </c>
      <c r="AN96" s="8">
        <f t="shared" si="110"/>
        <v>8490</v>
      </c>
      <c r="AO96" s="9"/>
      <c r="AP96" s="9">
        <v>30</v>
      </c>
      <c r="AQ96" s="9">
        <v>0</v>
      </c>
      <c r="AR96" s="8">
        <f t="shared" si="111"/>
        <v>30</v>
      </c>
      <c r="AS96" s="8">
        <f t="shared" si="112"/>
        <v>8460</v>
      </c>
      <c r="AT96" s="8">
        <f t="shared" si="113"/>
        <v>8460</v>
      </c>
      <c r="AU96" s="9"/>
      <c r="AV96" s="9">
        <v>60</v>
      </c>
      <c r="AW96" s="9">
        <v>0</v>
      </c>
      <c r="AX96" s="8">
        <f t="shared" si="114"/>
        <v>60</v>
      </c>
      <c r="AY96" s="8">
        <f t="shared" si="115"/>
        <v>8400</v>
      </c>
      <c r="AZ96" s="8">
        <f t="shared" si="116"/>
        <v>8400</v>
      </c>
      <c r="BA96" s="9"/>
      <c r="BB96" s="9"/>
      <c r="BC96" s="9"/>
      <c r="BD96" s="8">
        <f t="shared" si="117"/>
        <v>0</v>
      </c>
      <c r="BE96" s="8">
        <f t="shared" si="118"/>
        <v>8400</v>
      </c>
      <c r="BF96" s="8">
        <f t="shared" si="119"/>
        <v>8400</v>
      </c>
      <c r="BG96" s="9"/>
      <c r="BH96" s="9"/>
      <c r="BI96" s="9"/>
      <c r="BJ96" s="8">
        <f t="shared" si="120"/>
        <v>0</v>
      </c>
      <c r="BK96" s="8">
        <f t="shared" si="121"/>
        <v>8400</v>
      </c>
      <c r="BL96" s="8">
        <f t="shared" si="122"/>
        <v>8400</v>
      </c>
      <c r="BM96" s="9"/>
      <c r="BN96" s="9">
        <v>60</v>
      </c>
      <c r="BO96" s="9">
        <v>0</v>
      </c>
      <c r="BP96" s="8">
        <f t="shared" si="123"/>
        <v>60</v>
      </c>
      <c r="BQ96" s="8">
        <f t="shared" si="124"/>
        <v>8340</v>
      </c>
      <c r="BR96" s="8">
        <f t="shared" si="125"/>
        <v>8340</v>
      </c>
      <c r="BS96" s="9"/>
      <c r="BT96" s="9">
        <v>30</v>
      </c>
      <c r="BU96" s="9">
        <v>0</v>
      </c>
      <c r="BV96" s="8">
        <f t="shared" si="126"/>
        <v>30</v>
      </c>
      <c r="BW96" s="8">
        <f t="shared" si="127"/>
        <v>8310</v>
      </c>
      <c r="BX96" s="8">
        <f t="shared" si="128"/>
        <v>8310</v>
      </c>
      <c r="BY96" s="9"/>
      <c r="BZ96" s="9">
        <v>30</v>
      </c>
      <c r="CA96" s="9">
        <v>0</v>
      </c>
      <c r="CB96" s="8">
        <f t="shared" si="129"/>
        <v>30</v>
      </c>
      <c r="CC96" s="8">
        <f t="shared" si="130"/>
        <v>8280</v>
      </c>
      <c r="CD96" s="8">
        <f t="shared" si="131"/>
        <v>8280</v>
      </c>
      <c r="CE96" s="9"/>
      <c r="CF96" s="9">
        <v>30</v>
      </c>
      <c r="CG96" s="9">
        <v>0</v>
      </c>
      <c r="CH96" s="8">
        <f t="shared" si="132"/>
        <v>30</v>
      </c>
      <c r="CI96" s="8">
        <f t="shared" si="133"/>
        <v>8250</v>
      </c>
      <c r="CJ96" s="8">
        <f t="shared" si="134"/>
        <v>8250</v>
      </c>
      <c r="CK96" s="9"/>
      <c r="CL96" s="9">
        <v>90</v>
      </c>
      <c r="CM96" s="9">
        <v>0</v>
      </c>
      <c r="CN96" s="8">
        <f t="shared" si="135"/>
        <v>90</v>
      </c>
      <c r="CO96" s="8">
        <f t="shared" si="136"/>
        <v>8160</v>
      </c>
      <c r="CP96" s="8">
        <f t="shared" si="137"/>
        <v>8160</v>
      </c>
    </row>
    <row r="97" spans="1:195" x14ac:dyDescent="0.3">
      <c r="A97" s="6">
        <v>90</v>
      </c>
      <c r="B97" s="22" t="s">
        <v>353</v>
      </c>
      <c r="C97" s="20" t="s">
        <v>256</v>
      </c>
      <c r="D97" s="24" t="s">
        <v>362</v>
      </c>
      <c r="E97" s="16" t="s">
        <v>173</v>
      </c>
      <c r="F97" s="12" t="s">
        <v>384</v>
      </c>
      <c r="G97" s="12" t="s">
        <v>92</v>
      </c>
      <c r="H97" s="7" t="s">
        <v>70</v>
      </c>
      <c r="I97" s="8">
        <v>2280</v>
      </c>
      <c r="J97" s="27">
        <v>2280</v>
      </c>
      <c r="K97" s="9"/>
      <c r="L97" s="9"/>
      <c r="M97" s="9"/>
      <c r="N97" s="8">
        <f t="shared" si="97"/>
        <v>0</v>
      </c>
      <c r="O97" s="8">
        <f t="shared" si="138"/>
        <v>2280</v>
      </c>
      <c r="P97" s="8">
        <f t="shared" si="98"/>
        <v>2280</v>
      </c>
      <c r="Q97" s="9"/>
      <c r="R97" s="9"/>
      <c r="S97" s="9"/>
      <c r="T97" s="8">
        <f t="shared" si="99"/>
        <v>0</v>
      </c>
      <c r="U97" s="8">
        <f t="shared" si="100"/>
        <v>2280</v>
      </c>
      <c r="V97" s="8">
        <f t="shared" si="101"/>
        <v>2280</v>
      </c>
      <c r="W97" s="29"/>
      <c r="X97" s="29"/>
      <c r="Y97" s="29"/>
      <c r="Z97" s="8">
        <f t="shared" si="102"/>
        <v>0</v>
      </c>
      <c r="AA97" s="8">
        <f t="shared" si="103"/>
        <v>2280</v>
      </c>
      <c r="AB97" s="8">
        <f t="shared" si="104"/>
        <v>2280</v>
      </c>
      <c r="AC97" s="29"/>
      <c r="AD97" s="29">
        <v>80</v>
      </c>
      <c r="AE97" s="29">
        <v>0</v>
      </c>
      <c r="AF97" s="8">
        <f t="shared" si="105"/>
        <v>80</v>
      </c>
      <c r="AG97" s="8">
        <f t="shared" si="106"/>
        <v>2200</v>
      </c>
      <c r="AH97" s="8">
        <f t="shared" si="107"/>
        <v>2200</v>
      </c>
      <c r="AI97" s="29"/>
      <c r="AJ97" s="29"/>
      <c r="AK97" s="29"/>
      <c r="AL97" s="8">
        <f t="shared" si="108"/>
        <v>0</v>
      </c>
      <c r="AM97" s="8">
        <f t="shared" si="109"/>
        <v>2200</v>
      </c>
      <c r="AN97" s="8">
        <f t="shared" si="110"/>
        <v>2200</v>
      </c>
      <c r="AO97" s="9"/>
      <c r="AP97" s="9"/>
      <c r="AQ97" s="9"/>
      <c r="AR97" s="8">
        <f t="shared" si="111"/>
        <v>0</v>
      </c>
      <c r="AS97" s="8">
        <f t="shared" si="112"/>
        <v>2200</v>
      </c>
      <c r="AT97" s="8">
        <f t="shared" si="113"/>
        <v>2200</v>
      </c>
      <c r="AU97" s="9"/>
      <c r="AV97" s="9"/>
      <c r="AW97" s="9"/>
      <c r="AX97" s="8">
        <f t="shared" si="114"/>
        <v>0</v>
      </c>
      <c r="AY97" s="8">
        <f t="shared" si="115"/>
        <v>2200</v>
      </c>
      <c r="AZ97" s="8">
        <f t="shared" si="116"/>
        <v>2200</v>
      </c>
      <c r="BA97" s="9"/>
      <c r="BB97" s="9"/>
      <c r="BC97" s="9"/>
      <c r="BD97" s="8">
        <f t="shared" si="117"/>
        <v>0</v>
      </c>
      <c r="BE97" s="8">
        <f t="shared" si="118"/>
        <v>2200</v>
      </c>
      <c r="BF97" s="8">
        <f t="shared" si="119"/>
        <v>2200</v>
      </c>
      <c r="BG97" s="9"/>
      <c r="BH97" s="9"/>
      <c r="BI97" s="9"/>
      <c r="BJ97" s="8">
        <f t="shared" si="120"/>
        <v>0</v>
      </c>
      <c r="BK97" s="8">
        <f t="shared" si="121"/>
        <v>2200</v>
      </c>
      <c r="BL97" s="8">
        <f t="shared" si="122"/>
        <v>2200</v>
      </c>
      <c r="BM97" s="9"/>
      <c r="BN97" s="9"/>
      <c r="BO97" s="9"/>
      <c r="BP97" s="8">
        <f t="shared" si="123"/>
        <v>0</v>
      </c>
      <c r="BQ97" s="8">
        <f t="shared" si="124"/>
        <v>2200</v>
      </c>
      <c r="BR97" s="8">
        <f t="shared" si="125"/>
        <v>2200</v>
      </c>
      <c r="BS97" s="9"/>
      <c r="BT97" s="9">
        <v>80</v>
      </c>
      <c r="BU97" s="9">
        <v>0</v>
      </c>
      <c r="BV97" s="8">
        <f t="shared" si="126"/>
        <v>80</v>
      </c>
      <c r="BW97" s="8">
        <f t="shared" si="127"/>
        <v>2120</v>
      </c>
      <c r="BX97" s="8">
        <f t="shared" si="128"/>
        <v>2120</v>
      </c>
      <c r="BY97" s="9"/>
      <c r="BZ97" s="9"/>
      <c r="CA97" s="9"/>
      <c r="CB97" s="8">
        <f t="shared" si="129"/>
        <v>0</v>
      </c>
      <c r="CC97" s="8">
        <f t="shared" si="130"/>
        <v>2120</v>
      </c>
      <c r="CD97" s="8">
        <f t="shared" si="131"/>
        <v>2120</v>
      </c>
      <c r="CE97" s="9"/>
      <c r="CF97" s="9"/>
      <c r="CG97" s="9"/>
      <c r="CH97" s="8">
        <f t="shared" si="132"/>
        <v>0</v>
      </c>
      <c r="CI97" s="8">
        <f t="shared" si="133"/>
        <v>2120</v>
      </c>
      <c r="CJ97" s="8">
        <f t="shared" si="134"/>
        <v>2120</v>
      </c>
      <c r="CK97" s="9"/>
      <c r="CL97" s="9"/>
      <c r="CM97" s="9"/>
      <c r="CN97" s="8">
        <f t="shared" si="135"/>
        <v>0</v>
      </c>
      <c r="CO97" s="8">
        <f t="shared" si="136"/>
        <v>2120</v>
      </c>
      <c r="CP97" s="8">
        <f t="shared" si="137"/>
        <v>2120</v>
      </c>
    </row>
    <row r="98" spans="1:195" x14ac:dyDescent="0.3">
      <c r="A98" s="6">
        <v>91</v>
      </c>
      <c r="B98" s="22" t="s">
        <v>354</v>
      </c>
      <c r="C98" s="20" t="s">
        <v>257</v>
      </c>
      <c r="D98" s="24" t="s">
        <v>362</v>
      </c>
      <c r="E98" s="16" t="s">
        <v>174</v>
      </c>
      <c r="F98" s="12" t="s">
        <v>384</v>
      </c>
      <c r="G98" s="12" t="s">
        <v>80</v>
      </c>
      <c r="H98" s="7" t="s">
        <v>70</v>
      </c>
      <c r="I98" s="8">
        <v>1830</v>
      </c>
      <c r="J98" s="27">
        <v>1830</v>
      </c>
      <c r="K98" s="9"/>
      <c r="L98" s="9"/>
      <c r="M98" s="9"/>
      <c r="N98" s="8">
        <f t="shared" si="97"/>
        <v>0</v>
      </c>
      <c r="O98" s="8">
        <f t="shared" si="138"/>
        <v>1830</v>
      </c>
      <c r="P98" s="8">
        <f t="shared" si="98"/>
        <v>1830</v>
      </c>
      <c r="Q98" s="9"/>
      <c r="R98" s="9"/>
      <c r="S98" s="9"/>
      <c r="T98" s="8">
        <f t="shared" si="99"/>
        <v>0</v>
      </c>
      <c r="U98" s="8">
        <f t="shared" si="100"/>
        <v>1830</v>
      </c>
      <c r="V98" s="8">
        <f t="shared" si="101"/>
        <v>1830</v>
      </c>
      <c r="W98" s="29"/>
      <c r="X98" s="29"/>
      <c r="Y98" s="29"/>
      <c r="Z98" s="8">
        <f t="shared" si="102"/>
        <v>0</v>
      </c>
      <c r="AA98" s="8">
        <f t="shared" si="103"/>
        <v>1830</v>
      </c>
      <c r="AB98" s="8">
        <f t="shared" si="104"/>
        <v>1830</v>
      </c>
      <c r="AC98" s="29"/>
      <c r="AD98" s="29">
        <v>30</v>
      </c>
      <c r="AE98" s="29">
        <v>0</v>
      </c>
      <c r="AF98" s="8">
        <f t="shared" si="105"/>
        <v>30</v>
      </c>
      <c r="AG98" s="8">
        <f t="shared" si="106"/>
        <v>1800</v>
      </c>
      <c r="AH98" s="8">
        <f t="shared" si="107"/>
        <v>1800</v>
      </c>
      <c r="AI98" s="29"/>
      <c r="AJ98" s="29"/>
      <c r="AK98" s="29"/>
      <c r="AL98" s="8">
        <f t="shared" si="108"/>
        <v>0</v>
      </c>
      <c r="AM98" s="8">
        <f t="shared" si="109"/>
        <v>1800</v>
      </c>
      <c r="AN98" s="8">
        <f t="shared" si="110"/>
        <v>1800</v>
      </c>
      <c r="AO98" s="9"/>
      <c r="AP98" s="9"/>
      <c r="AQ98" s="9"/>
      <c r="AR98" s="8">
        <f t="shared" si="111"/>
        <v>0</v>
      </c>
      <c r="AS98" s="8">
        <f t="shared" si="112"/>
        <v>1800</v>
      </c>
      <c r="AT98" s="8">
        <f t="shared" si="113"/>
        <v>1800</v>
      </c>
      <c r="AU98" s="9"/>
      <c r="AV98" s="9"/>
      <c r="AW98" s="9"/>
      <c r="AX98" s="8">
        <f t="shared" si="114"/>
        <v>0</v>
      </c>
      <c r="AY98" s="8">
        <f t="shared" si="115"/>
        <v>1800</v>
      </c>
      <c r="AZ98" s="8">
        <f t="shared" si="116"/>
        <v>1800</v>
      </c>
      <c r="BA98" s="9"/>
      <c r="BB98" s="9"/>
      <c r="BC98" s="9"/>
      <c r="BD98" s="8">
        <f t="shared" si="117"/>
        <v>0</v>
      </c>
      <c r="BE98" s="8">
        <f t="shared" si="118"/>
        <v>1800</v>
      </c>
      <c r="BF98" s="8">
        <f t="shared" si="119"/>
        <v>1800</v>
      </c>
      <c r="BG98" s="9"/>
      <c r="BH98" s="9"/>
      <c r="BI98" s="9"/>
      <c r="BJ98" s="8">
        <f t="shared" si="120"/>
        <v>0</v>
      </c>
      <c r="BK98" s="8">
        <f t="shared" si="121"/>
        <v>1800</v>
      </c>
      <c r="BL98" s="8">
        <f t="shared" si="122"/>
        <v>1800</v>
      </c>
      <c r="BM98" s="9"/>
      <c r="BN98" s="9"/>
      <c r="BO98" s="9"/>
      <c r="BP98" s="8">
        <f t="shared" si="123"/>
        <v>0</v>
      </c>
      <c r="BQ98" s="8">
        <f t="shared" si="124"/>
        <v>1800</v>
      </c>
      <c r="BR98" s="8">
        <f t="shared" si="125"/>
        <v>1800</v>
      </c>
      <c r="BS98" s="9"/>
      <c r="BT98" s="9">
        <v>30</v>
      </c>
      <c r="BU98" s="9">
        <v>0</v>
      </c>
      <c r="BV98" s="8">
        <f t="shared" si="126"/>
        <v>30</v>
      </c>
      <c r="BW98" s="8">
        <f t="shared" si="127"/>
        <v>1770</v>
      </c>
      <c r="BX98" s="8">
        <f t="shared" si="128"/>
        <v>1770</v>
      </c>
      <c r="BY98" s="9"/>
      <c r="BZ98" s="9"/>
      <c r="CA98" s="9"/>
      <c r="CB98" s="8">
        <f t="shared" si="129"/>
        <v>0</v>
      </c>
      <c r="CC98" s="8">
        <f t="shared" si="130"/>
        <v>1770</v>
      </c>
      <c r="CD98" s="8">
        <f t="shared" si="131"/>
        <v>1770</v>
      </c>
      <c r="CE98" s="9"/>
      <c r="CF98" s="9"/>
      <c r="CG98" s="9"/>
      <c r="CH98" s="8">
        <f t="shared" si="132"/>
        <v>0</v>
      </c>
      <c r="CI98" s="8">
        <f t="shared" si="133"/>
        <v>1770</v>
      </c>
      <c r="CJ98" s="8">
        <f t="shared" si="134"/>
        <v>1770</v>
      </c>
      <c r="CK98" s="9"/>
      <c r="CL98" s="9"/>
      <c r="CM98" s="9"/>
      <c r="CN98" s="8">
        <f t="shared" si="135"/>
        <v>0</v>
      </c>
      <c r="CO98" s="8">
        <f t="shared" si="136"/>
        <v>1770</v>
      </c>
      <c r="CP98" s="8">
        <f t="shared" si="137"/>
        <v>1770</v>
      </c>
    </row>
    <row r="99" spans="1:195" x14ac:dyDescent="0.3">
      <c r="A99" s="6">
        <v>92</v>
      </c>
      <c r="B99" s="22" t="s">
        <v>355</v>
      </c>
      <c r="C99" s="20" t="s">
        <v>258</v>
      </c>
      <c r="D99" s="25" t="s">
        <v>91</v>
      </c>
      <c r="E99" s="16">
        <v>0</v>
      </c>
      <c r="F99" s="12"/>
      <c r="G99" s="12"/>
      <c r="H99" s="7" t="s">
        <v>70</v>
      </c>
      <c r="I99" s="8">
        <v>670</v>
      </c>
      <c r="J99" s="8">
        <v>670</v>
      </c>
      <c r="K99" s="9"/>
      <c r="L99" s="9"/>
      <c r="M99" s="9"/>
      <c r="N99" s="8">
        <f t="shared" si="97"/>
        <v>0</v>
      </c>
      <c r="O99" s="8">
        <f t="shared" si="138"/>
        <v>670</v>
      </c>
      <c r="P99" s="8">
        <f t="shared" si="98"/>
        <v>670</v>
      </c>
      <c r="Q99" s="9"/>
      <c r="R99" s="9"/>
      <c r="S99" s="9"/>
      <c r="T99" s="8">
        <f t="shared" si="99"/>
        <v>0</v>
      </c>
      <c r="U99" s="8">
        <f t="shared" si="100"/>
        <v>670</v>
      </c>
      <c r="V99" s="8">
        <f t="shared" si="101"/>
        <v>670</v>
      </c>
      <c r="W99" s="29"/>
      <c r="X99" s="29"/>
      <c r="Y99" s="29"/>
      <c r="Z99" s="8">
        <f t="shared" si="102"/>
        <v>0</v>
      </c>
      <c r="AA99" s="8">
        <f t="shared" si="103"/>
        <v>670</v>
      </c>
      <c r="AB99" s="8">
        <f t="shared" si="104"/>
        <v>670</v>
      </c>
      <c r="AC99" s="29"/>
      <c r="AD99" s="29"/>
      <c r="AE99" s="29"/>
      <c r="AF99" s="8">
        <f t="shared" si="105"/>
        <v>0</v>
      </c>
      <c r="AG99" s="8">
        <f t="shared" si="106"/>
        <v>670</v>
      </c>
      <c r="AH99" s="8">
        <f t="shared" si="107"/>
        <v>670</v>
      </c>
      <c r="AI99" s="29"/>
      <c r="AJ99" s="29"/>
      <c r="AK99" s="29"/>
      <c r="AL99" s="8">
        <f t="shared" si="108"/>
        <v>0</v>
      </c>
      <c r="AM99" s="8">
        <f t="shared" si="109"/>
        <v>670</v>
      </c>
      <c r="AN99" s="8">
        <f t="shared" si="110"/>
        <v>670</v>
      </c>
      <c r="AO99" s="9"/>
      <c r="AP99" s="9"/>
      <c r="AQ99" s="9"/>
      <c r="AR99" s="8">
        <f t="shared" si="111"/>
        <v>0</v>
      </c>
      <c r="AS99" s="8">
        <f t="shared" si="112"/>
        <v>670</v>
      </c>
      <c r="AT99" s="8">
        <f t="shared" si="113"/>
        <v>670</v>
      </c>
      <c r="AU99" s="9"/>
      <c r="AV99" s="9"/>
      <c r="AW99" s="9"/>
      <c r="AX99" s="8">
        <f t="shared" si="114"/>
        <v>0</v>
      </c>
      <c r="AY99" s="8">
        <f t="shared" si="115"/>
        <v>670</v>
      </c>
      <c r="AZ99" s="8">
        <f t="shared" si="116"/>
        <v>670</v>
      </c>
      <c r="BA99" s="9"/>
      <c r="BB99" s="9"/>
      <c r="BC99" s="9"/>
      <c r="BD99" s="8">
        <f t="shared" si="117"/>
        <v>0</v>
      </c>
      <c r="BE99" s="8">
        <f t="shared" si="118"/>
        <v>670</v>
      </c>
      <c r="BF99" s="8">
        <f t="shared" si="119"/>
        <v>670</v>
      </c>
      <c r="BG99" s="9"/>
      <c r="BH99" s="9"/>
      <c r="BI99" s="9"/>
      <c r="BJ99" s="8">
        <f t="shared" si="120"/>
        <v>0</v>
      </c>
      <c r="BK99" s="8">
        <f t="shared" si="121"/>
        <v>670</v>
      </c>
      <c r="BL99" s="8">
        <f t="shared" si="122"/>
        <v>670</v>
      </c>
      <c r="BM99" s="9"/>
      <c r="BN99" s="9"/>
      <c r="BO99" s="9"/>
      <c r="BP99" s="8">
        <f t="shared" si="123"/>
        <v>0</v>
      </c>
      <c r="BQ99" s="8">
        <f t="shared" si="124"/>
        <v>670</v>
      </c>
      <c r="BR99" s="8">
        <f t="shared" si="125"/>
        <v>670</v>
      </c>
      <c r="BS99" s="9"/>
      <c r="BT99" s="9"/>
      <c r="BU99" s="9"/>
      <c r="BV99" s="8">
        <f t="shared" si="126"/>
        <v>0</v>
      </c>
      <c r="BW99" s="8">
        <f t="shared" si="127"/>
        <v>670</v>
      </c>
      <c r="BX99" s="8">
        <f t="shared" si="128"/>
        <v>670</v>
      </c>
      <c r="BY99" s="9"/>
      <c r="BZ99" s="9"/>
      <c r="CA99" s="9"/>
      <c r="CB99" s="8">
        <f t="shared" si="129"/>
        <v>0</v>
      </c>
      <c r="CC99" s="8">
        <f t="shared" si="130"/>
        <v>670</v>
      </c>
      <c r="CD99" s="8">
        <f t="shared" si="131"/>
        <v>670</v>
      </c>
      <c r="CE99" s="9"/>
      <c r="CF99" s="9"/>
      <c r="CG99" s="9"/>
      <c r="CH99" s="8">
        <f t="shared" si="132"/>
        <v>0</v>
      </c>
      <c r="CI99" s="8">
        <f t="shared" si="133"/>
        <v>670</v>
      </c>
      <c r="CJ99" s="8">
        <f t="shared" si="134"/>
        <v>670</v>
      </c>
      <c r="CK99" s="9"/>
      <c r="CL99" s="9"/>
      <c r="CM99" s="9"/>
      <c r="CN99" s="8">
        <f t="shared" si="135"/>
        <v>0</v>
      </c>
      <c r="CO99" s="8">
        <f t="shared" si="136"/>
        <v>670</v>
      </c>
      <c r="CP99" s="8">
        <f t="shared" si="137"/>
        <v>670</v>
      </c>
    </row>
    <row r="100" spans="1:195" x14ac:dyDescent="0.3">
      <c r="A100" s="6">
        <v>93</v>
      </c>
      <c r="B100" s="22" t="s">
        <v>356</v>
      </c>
      <c r="C100" s="20" t="s">
        <v>259</v>
      </c>
      <c r="D100" s="24" t="s">
        <v>362</v>
      </c>
      <c r="E100" s="16" t="s">
        <v>175</v>
      </c>
      <c r="F100" s="12" t="s">
        <v>384</v>
      </c>
      <c r="G100" s="12" t="s">
        <v>79</v>
      </c>
      <c r="H100" s="7" t="s">
        <v>70</v>
      </c>
      <c r="I100" s="8">
        <v>300</v>
      </c>
      <c r="J100" s="8">
        <v>300</v>
      </c>
      <c r="K100" s="9"/>
      <c r="L100" s="9"/>
      <c r="M100" s="9"/>
      <c r="N100" s="8">
        <f t="shared" si="97"/>
        <v>0</v>
      </c>
      <c r="O100" s="8">
        <f t="shared" si="138"/>
        <v>300</v>
      </c>
      <c r="P100" s="8">
        <f t="shared" si="98"/>
        <v>300</v>
      </c>
      <c r="Q100" s="9"/>
      <c r="R100" s="9"/>
      <c r="S100" s="9"/>
      <c r="T100" s="8">
        <f t="shared" si="99"/>
        <v>0</v>
      </c>
      <c r="U100" s="8">
        <f t="shared" si="100"/>
        <v>300</v>
      </c>
      <c r="V100" s="8">
        <f t="shared" si="101"/>
        <v>300</v>
      </c>
      <c r="W100" s="29"/>
      <c r="X100" s="29"/>
      <c r="Y100" s="29"/>
      <c r="Z100" s="8">
        <f t="shared" si="102"/>
        <v>0</v>
      </c>
      <c r="AA100" s="8">
        <f t="shared" si="103"/>
        <v>300</v>
      </c>
      <c r="AB100" s="8">
        <f t="shared" si="104"/>
        <v>300</v>
      </c>
      <c r="AC100" s="29"/>
      <c r="AD100" s="29"/>
      <c r="AE100" s="29"/>
      <c r="AF100" s="8">
        <f t="shared" si="105"/>
        <v>0</v>
      </c>
      <c r="AG100" s="8">
        <f t="shared" si="106"/>
        <v>300</v>
      </c>
      <c r="AH100" s="8">
        <f t="shared" si="107"/>
        <v>300</v>
      </c>
      <c r="AI100" s="29"/>
      <c r="AJ100" s="29"/>
      <c r="AK100" s="29"/>
      <c r="AL100" s="8">
        <f t="shared" si="108"/>
        <v>0</v>
      </c>
      <c r="AM100" s="8">
        <f t="shared" si="109"/>
        <v>300</v>
      </c>
      <c r="AN100" s="8">
        <f t="shared" si="110"/>
        <v>300</v>
      </c>
      <c r="AO100" s="9"/>
      <c r="AP100" s="9"/>
      <c r="AQ100" s="9"/>
      <c r="AR100" s="8">
        <f t="shared" si="111"/>
        <v>0</v>
      </c>
      <c r="AS100" s="8">
        <f t="shared" si="112"/>
        <v>300</v>
      </c>
      <c r="AT100" s="8">
        <f t="shared" si="113"/>
        <v>300</v>
      </c>
      <c r="AU100" s="9"/>
      <c r="AV100" s="9"/>
      <c r="AW100" s="9"/>
      <c r="AX100" s="8">
        <f t="shared" si="114"/>
        <v>0</v>
      </c>
      <c r="AY100" s="8">
        <f t="shared" si="115"/>
        <v>300</v>
      </c>
      <c r="AZ100" s="8">
        <f t="shared" si="116"/>
        <v>300</v>
      </c>
      <c r="BA100" s="9"/>
      <c r="BB100" s="9"/>
      <c r="BC100" s="9"/>
      <c r="BD100" s="8">
        <f t="shared" si="117"/>
        <v>0</v>
      </c>
      <c r="BE100" s="8">
        <f t="shared" si="118"/>
        <v>300</v>
      </c>
      <c r="BF100" s="8">
        <f t="shared" si="119"/>
        <v>300</v>
      </c>
      <c r="BG100" s="9"/>
      <c r="BH100" s="9"/>
      <c r="BI100" s="9"/>
      <c r="BJ100" s="8">
        <f t="shared" si="120"/>
        <v>0</v>
      </c>
      <c r="BK100" s="8">
        <f t="shared" si="121"/>
        <v>300</v>
      </c>
      <c r="BL100" s="8">
        <f t="shared" si="122"/>
        <v>300</v>
      </c>
      <c r="BM100" s="9"/>
      <c r="BN100" s="9"/>
      <c r="BO100" s="9"/>
      <c r="BP100" s="8">
        <f t="shared" si="123"/>
        <v>0</v>
      </c>
      <c r="BQ100" s="8">
        <f t="shared" si="124"/>
        <v>300</v>
      </c>
      <c r="BR100" s="8">
        <f t="shared" si="125"/>
        <v>300</v>
      </c>
      <c r="BS100" s="9"/>
      <c r="BT100" s="9"/>
      <c r="BU100" s="9"/>
      <c r="BV100" s="8">
        <f t="shared" si="126"/>
        <v>0</v>
      </c>
      <c r="BW100" s="8">
        <f t="shared" si="127"/>
        <v>300</v>
      </c>
      <c r="BX100" s="8">
        <f t="shared" si="128"/>
        <v>300</v>
      </c>
      <c r="BY100" s="9"/>
      <c r="BZ100" s="9"/>
      <c r="CA100" s="9"/>
      <c r="CB100" s="8">
        <f t="shared" si="129"/>
        <v>0</v>
      </c>
      <c r="CC100" s="8">
        <f t="shared" si="130"/>
        <v>300</v>
      </c>
      <c r="CD100" s="8">
        <f t="shared" si="131"/>
        <v>300</v>
      </c>
      <c r="CE100" s="9"/>
      <c r="CF100" s="9"/>
      <c r="CG100" s="9"/>
      <c r="CH100" s="8">
        <f t="shared" si="132"/>
        <v>0</v>
      </c>
      <c r="CI100" s="8">
        <f t="shared" si="133"/>
        <v>300</v>
      </c>
      <c r="CJ100" s="8">
        <f t="shared" si="134"/>
        <v>300</v>
      </c>
      <c r="CK100" s="9"/>
      <c r="CL100" s="9"/>
      <c r="CM100" s="9"/>
      <c r="CN100" s="8">
        <f t="shared" si="135"/>
        <v>0</v>
      </c>
      <c r="CO100" s="8">
        <f t="shared" si="136"/>
        <v>300</v>
      </c>
      <c r="CP100" s="8">
        <f t="shared" si="137"/>
        <v>300</v>
      </c>
    </row>
    <row r="101" spans="1:195" x14ac:dyDescent="0.3">
      <c r="A101" s="6">
        <v>94</v>
      </c>
      <c r="B101" s="22" t="s">
        <v>357</v>
      </c>
      <c r="C101" s="20" t="s">
        <v>260</v>
      </c>
      <c r="D101" s="24" t="s">
        <v>362</v>
      </c>
      <c r="E101" s="16" t="s">
        <v>176</v>
      </c>
      <c r="F101" s="12" t="s">
        <v>384</v>
      </c>
      <c r="G101" s="12" t="s">
        <v>92</v>
      </c>
      <c r="H101" s="7" t="s">
        <v>70</v>
      </c>
      <c r="I101" s="8">
        <v>100</v>
      </c>
      <c r="J101" s="8">
        <v>100</v>
      </c>
      <c r="K101" s="9"/>
      <c r="L101" s="9"/>
      <c r="M101" s="9"/>
      <c r="N101" s="8">
        <f t="shared" si="97"/>
        <v>0</v>
      </c>
      <c r="O101" s="8">
        <f t="shared" si="138"/>
        <v>100</v>
      </c>
      <c r="P101" s="8">
        <f t="shared" si="98"/>
        <v>100</v>
      </c>
      <c r="Q101" s="9"/>
      <c r="R101" s="9"/>
      <c r="S101" s="9"/>
      <c r="T101" s="8">
        <f t="shared" si="99"/>
        <v>0</v>
      </c>
      <c r="U101" s="8">
        <f t="shared" si="100"/>
        <v>100</v>
      </c>
      <c r="V101" s="8">
        <f t="shared" si="101"/>
        <v>100</v>
      </c>
      <c r="W101" s="29"/>
      <c r="X101" s="29"/>
      <c r="Y101" s="29"/>
      <c r="Z101" s="8">
        <f t="shared" si="102"/>
        <v>0</v>
      </c>
      <c r="AA101" s="8">
        <f t="shared" si="103"/>
        <v>100</v>
      </c>
      <c r="AB101" s="8">
        <f t="shared" si="104"/>
        <v>100</v>
      </c>
      <c r="AC101" s="29"/>
      <c r="AD101" s="29"/>
      <c r="AE101" s="29"/>
      <c r="AF101" s="8">
        <f t="shared" si="105"/>
        <v>0</v>
      </c>
      <c r="AG101" s="8">
        <f t="shared" si="106"/>
        <v>100</v>
      </c>
      <c r="AH101" s="8">
        <f t="shared" si="107"/>
        <v>100</v>
      </c>
      <c r="AI101" s="29"/>
      <c r="AJ101" s="29"/>
      <c r="AK101" s="29"/>
      <c r="AL101" s="8">
        <f t="shared" si="108"/>
        <v>0</v>
      </c>
      <c r="AM101" s="8">
        <f t="shared" si="109"/>
        <v>100</v>
      </c>
      <c r="AN101" s="8">
        <f t="shared" si="110"/>
        <v>100</v>
      </c>
      <c r="AO101" s="9"/>
      <c r="AP101" s="9"/>
      <c r="AQ101" s="9"/>
      <c r="AR101" s="8">
        <f t="shared" si="111"/>
        <v>0</v>
      </c>
      <c r="AS101" s="8">
        <f t="shared" si="112"/>
        <v>100</v>
      </c>
      <c r="AT101" s="8">
        <f t="shared" si="113"/>
        <v>100</v>
      </c>
      <c r="AU101" s="9"/>
      <c r="AV101" s="9"/>
      <c r="AW101" s="9"/>
      <c r="AX101" s="8">
        <f t="shared" si="114"/>
        <v>0</v>
      </c>
      <c r="AY101" s="8">
        <f t="shared" si="115"/>
        <v>100</v>
      </c>
      <c r="AZ101" s="8">
        <f t="shared" si="116"/>
        <v>100</v>
      </c>
      <c r="BA101" s="9"/>
      <c r="BB101" s="9"/>
      <c r="BC101" s="9"/>
      <c r="BD101" s="8">
        <f t="shared" si="117"/>
        <v>0</v>
      </c>
      <c r="BE101" s="8">
        <f t="shared" si="118"/>
        <v>100</v>
      </c>
      <c r="BF101" s="8">
        <f t="shared" si="119"/>
        <v>100</v>
      </c>
      <c r="BG101" s="9"/>
      <c r="BH101" s="9"/>
      <c r="BI101" s="9"/>
      <c r="BJ101" s="8">
        <f t="shared" si="120"/>
        <v>0</v>
      </c>
      <c r="BK101" s="8">
        <f t="shared" si="121"/>
        <v>100</v>
      </c>
      <c r="BL101" s="8">
        <f t="shared" si="122"/>
        <v>100</v>
      </c>
      <c r="BM101" s="9"/>
      <c r="BN101" s="9"/>
      <c r="BO101" s="9"/>
      <c r="BP101" s="8">
        <f t="shared" si="123"/>
        <v>0</v>
      </c>
      <c r="BQ101" s="8">
        <f t="shared" si="124"/>
        <v>100</v>
      </c>
      <c r="BR101" s="8">
        <f t="shared" si="125"/>
        <v>100</v>
      </c>
      <c r="BS101" s="9"/>
      <c r="BT101" s="9"/>
      <c r="BU101" s="9"/>
      <c r="BV101" s="8">
        <f t="shared" si="126"/>
        <v>0</v>
      </c>
      <c r="BW101" s="8">
        <f t="shared" si="127"/>
        <v>100</v>
      </c>
      <c r="BX101" s="8">
        <f t="shared" si="128"/>
        <v>100</v>
      </c>
      <c r="BY101" s="9"/>
      <c r="BZ101" s="9"/>
      <c r="CA101" s="9"/>
      <c r="CB101" s="8">
        <f t="shared" si="129"/>
        <v>0</v>
      </c>
      <c r="CC101" s="8">
        <f t="shared" si="130"/>
        <v>100</v>
      </c>
      <c r="CD101" s="8">
        <f t="shared" si="131"/>
        <v>100</v>
      </c>
      <c r="CE101" s="9"/>
      <c r="CF101" s="9"/>
      <c r="CG101" s="9"/>
      <c r="CH101" s="8">
        <f t="shared" si="132"/>
        <v>0</v>
      </c>
      <c r="CI101" s="8">
        <f t="shared" si="133"/>
        <v>100</v>
      </c>
      <c r="CJ101" s="8">
        <f t="shared" si="134"/>
        <v>100</v>
      </c>
      <c r="CK101" s="9"/>
      <c r="CL101" s="9"/>
      <c r="CM101" s="9"/>
      <c r="CN101" s="8">
        <f t="shared" si="135"/>
        <v>0</v>
      </c>
      <c r="CO101" s="8">
        <f t="shared" si="136"/>
        <v>100</v>
      </c>
      <c r="CP101" s="8">
        <f t="shared" si="137"/>
        <v>100</v>
      </c>
    </row>
    <row r="102" spans="1:195" x14ac:dyDescent="0.3">
      <c r="A102" s="6">
        <v>95</v>
      </c>
      <c r="B102" s="22" t="s">
        <v>358</v>
      </c>
      <c r="C102" s="20" t="s">
        <v>261</v>
      </c>
      <c r="D102" s="24" t="s">
        <v>362</v>
      </c>
      <c r="E102" s="16" t="s">
        <v>177</v>
      </c>
      <c r="F102" s="12" t="s">
        <v>384</v>
      </c>
      <c r="G102" s="12" t="s">
        <v>80</v>
      </c>
      <c r="H102" s="7" t="s">
        <v>70</v>
      </c>
      <c r="I102" s="8">
        <v>20</v>
      </c>
      <c r="J102" s="8">
        <v>20</v>
      </c>
      <c r="K102" s="9"/>
      <c r="L102" s="9"/>
      <c r="M102" s="9"/>
      <c r="N102" s="8">
        <f t="shared" si="97"/>
        <v>0</v>
      </c>
      <c r="O102" s="8">
        <f t="shared" si="138"/>
        <v>20</v>
      </c>
      <c r="P102" s="8">
        <f t="shared" si="98"/>
        <v>20</v>
      </c>
      <c r="Q102" s="9"/>
      <c r="R102" s="9"/>
      <c r="S102" s="9"/>
      <c r="T102" s="8">
        <f t="shared" si="99"/>
        <v>0</v>
      </c>
      <c r="U102" s="8">
        <f t="shared" si="100"/>
        <v>20</v>
      </c>
      <c r="V102" s="8">
        <f t="shared" si="101"/>
        <v>20</v>
      </c>
      <c r="W102" s="29"/>
      <c r="X102" s="29">
        <v>0.18</v>
      </c>
      <c r="Y102" s="29">
        <v>0</v>
      </c>
      <c r="Z102" s="8">
        <f t="shared" si="102"/>
        <v>0.18</v>
      </c>
      <c r="AA102" s="8">
        <f t="shared" si="103"/>
        <v>19.82</v>
      </c>
      <c r="AB102" s="8">
        <f t="shared" si="104"/>
        <v>19.82</v>
      </c>
      <c r="AC102" s="29"/>
      <c r="AD102" s="29"/>
      <c r="AE102" s="29"/>
      <c r="AF102" s="8">
        <f t="shared" si="105"/>
        <v>0</v>
      </c>
      <c r="AG102" s="8">
        <f t="shared" si="106"/>
        <v>19.82</v>
      </c>
      <c r="AH102" s="8">
        <f t="shared" si="107"/>
        <v>19.82</v>
      </c>
      <c r="AI102" s="29"/>
      <c r="AJ102" s="29"/>
      <c r="AK102" s="29"/>
      <c r="AL102" s="8">
        <f t="shared" si="108"/>
        <v>0</v>
      </c>
      <c r="AM102" s="8">
        <f t="shared" si="109"/>
        <v>19.82</v>
      </c>
      <c r="AN102" s="8">
        <f t="shared" si="110"/>
        <v>19.82</v>
      </c>
      <c r="AO102" s="9"/>
      <c r="AP102" s="9"/>
      <c r="AQ102" s="9"/>
      <c r="AR102" s="8">
        <f t="shared" si="111"/>
        <v>0</v>
      </c>
      <c r="AS102" s="8">
        <f t="shared" si="112"/>
        <v>19.82</v>
      </c>
      <c r="AT102" s="8">
        <f t="shared" si="113"/>
        <v>19.82</v>
      </c>
      <c r="AU102" s="9"/>
      <c r="AV102" s="9"/>
      <c r="AW102" s="9"/>
      <c r="AX102" s="8">
        <f t="shared" si="114"/>
        <v>0</v>
      </c>
      <c r="AY102" s="8">
        <f t="shared" si="115"/>
        <v>19.82</v>
      </c>
      <c r="AZ102" s="8">
        <f t="shared" si="116"/>
        <v>19.82</v>
      </c>
      <c r="BA102" s="9"/>
      <c r="BB102" s="9"/>
      <c r="BC102" s="9"/>
      <c r="BD102" s="8">
        <f t="shared" si="117"/>
        <v>0</v>
      </c>
      <c r="BE102" s="8">
        <f t="shared" si="118"/>
        <v>19.82</v>
      </c>
      <c r="BF102" s="8">
        <f t="shared" si="119"/>
        <v>19.82</v>
      </c>
      <c r="BG102" s="9"/>
      <c r="BH102" s="9"/>
      <c r="BI102" s="9"/>
      <c r="BJ102" s="8">
        <f t="shared" si="120"/>
        <v>0</v>
      </c>
      <c r="BK102" s="8">
        <f t="shared" si="121"/>
        <v>19.82</v>
      </c>
      <c r="BL102" s="8">
        <f t="shared" si="122"/>
        <v>19.82</v>
      </c>
      <c r="BM102" s="9"/>
      <c r="BN102" s="9"/>
      <c r="BO102" s="9"/>
      <c r="BP102" s="8">
        <f t="shared" si="123"/>
        <v>0</v>
      </c>
      <c r="BQ102" s="8">
        <f t="shared" si="124"/>
        <v>19.82</v>
      </c>
      <c r="BR102" s="8">
        <f t="shared" si="125"/>
        <v>19.82</v>
      </c>
      <c r="BS102" s="9"/>
      <c r="BT102" s="9"/>
      <c r="BU102" s="9"/>
      <c r="BV102" s="8">
        <f t="shared" si="126"/>
        <v>0</v>
      </c>
      <c r="BW102" s="8">
        <f t="shared" si="127"/>
        <v>19.82</v>
      </c>
      <c r="BX102" s="8">
        <f t="shared" si="128"/>
        <v>19.82</v>
      </c>
      <c r="BY102" s="9"/>
      <c r="BZ102" s="9"/>
      <c r="CA102" s="9"/>
      <c r="CB102" s="8">
        <f t="shared" si="129"/>
        <v>0</v>
      </c>
      <c r="CC102" s="8">
        <f t="shared" si="130"/>
        <v>19.82</v>
      </c>
      <c r="CD102" s="8">
        <f t="shared" si="131"/>
        <v>19.82</v>
      </c>
      <c r="CE102" s="9"/>
      <c r="CF102" s="9"/>
      <c r="CG102" s="9"/>
      <c r="CH102" s="8">
        <f t="shared" si="132"/>
        <v>0</v>
      </c>
      <c r="CI102" s="8">
        <f t="shared" si="133"/>
        <v>19.82</v>
      </c>
      <c r="CJ102" s="8">
        <f t="shared" si="134"/>
        <v>19.82</v>
      </c>
      <c r="CK102" s="9"/>
      <c r="CL102" s="9"/>
      <c r="CM102" s="9"/>
      <c r="CN102" s="8">
        <f t="shared" si="135"/>
        <v>0</v>
      </c>
      <c r="CO102" s="8">
        <f t="shared" si="136"/>
        <v>19.82</v>
      </c>
      <c r="CP102" s="8">
        <f t="shared" si="137"/>
        <v>19.82</v>
      </c>
    </row>
    <row r="103" spans="1:195" x14ac:dyDescent="0.3">
      <c r="A103" s="6">
        <v>96</v>
      </c>
      <c r="B103" s="22" t="s">
        <v>359</v>
      </c>
      <c r="C103" s="20" t="s">
        <v>262</v>
      </c>
      <c r="D103" s="24" t="s">
        <v>362</v>
      </c>
      <c r="E103" s="16" t="s">
        <v>178</v>
      </c>
      <c r="F103" s="12" t="s">
        <v>384</v>
      </c>
      <c r="G103" s="12" t="s">
        <v>93</v>
      </c>
      <c r="H103" s="7" t="s">
        <v>70</v>
      </c>
      <c r="I103" s="8">
        <v>8.9499999999999993</v>
      </c>
      <c r="J103" s="8">
        <v>8.9499999999999993</v>
      </c>
      <c r="K103" s="9"/>
      <c r="L103" s="9"/>
      <c r="M103" s="9"/>
      <c r="N103" s="8">
        <f t="shared" si="97"/>
        <v>0</v>
      </c>
      <c r="O103" s="8">
        <f t="shared" si="138"/>
        <v>8.9499999999999993</v>
      </c>
      <c r="P103" s="8">
        <f t="shared" si="98"/>
        <v>8.9499999999999993</v>
      </c>
      <c r="Q103" s="9"/>
      <c r="R103" s="9"/>
      <c r="S103" s="9"/>
      <c r="T103" s="8">
        <f t="shared" si="99"/>
        <v>0</v>
      </c>
      <c r="U103" s="8">
        <f t="shared" si="100"/>
        <v>8.9499999999999993</v>
      </c>
      <c r="V103" s="8">
        <f t="shared" si="101"/>
        <v>8.9499999999999993</v>
      </c>
      <c r="W103" s="29"/>
      <c r="X103" s="29">
        <v>0.14000000000000001</v>
      </c>
      <c r="Y103" s="29">
        <v>0</v>
      </c>
      <c r="Z103" s="8">
        <f t="shared" si="102"/>
        <v>0.14000000000000001</v>
      </c>
      <c r="AA103" s="8">
        <f t="shared" si="103"/>
        <v>8.8099999999999987</v>
      </c>
      <c r="AB103" s="8">
        <f t="shared" si="104"/>
        <v>8.8099999999999987</v>
      </c>
      <c r="AC103" s="29"/>
      <c r="AD103" s="29"/>
      <c r="AE103" s="29"/>
      <c r="AF103" s="8">
        <f t="shared" si="105"/>
        <v>0</v>
      </c>
      <c r="AG103" s="8">
        <f t="shared" si="106"/>
        <v>8.8099999999999987</v>
      </c>
      <c r="AH103" s="8">
        <f t="shared" si="107"/>
        <v>8.8099999999999987</v>
      </c>
      <c r="AI103" s="29"/>
      <c r="AJ103" s="29"/>
      <c r="AK103" s="29"/>
      <c r="AL103" s="8">
        <f t="shared" si="108"/>
        <v>0</v>
      </c>
      <c r="AM103" s="8">
        <f t="shared" si="109"/>
        <v>8.8099999999999987</v>
      </c>
      <c r="AN103" s="8">
        <f t="shared" si="110"/>
        <v>8.8099999999999987</v>
      </c>
      <c r="AO103" s="9"/>
      <c r="AP103" s="9"/>
      <c r="AQ103" s="9"/>
      <c r="AR103" s="8">
        <f t="shared" si="111"/>
        <v>0</v>
      </c>
      <c r="AS103" s="8">
        <f t="shared" si="112"/>
        <v>8.8099999999999987</v>
      </c>
      <c r="AT103" s="8">
        <f t="shared" si="113"/>
        <v>8.8099999999999987</v>
      </c>
      <c r="AU103" s="9"/>
      <c r="AV103" s="9"/>
      <c r="AW103" s="9"/>
      <c r="AX103" s="8">
        <f t="shared" si="114"/>
        <v>0</v>
      </c>
      <c r="AY103" s="8">
        <f t="shared" si="115"/>
        <v>8.8099999999999987</v>
      </c>
      <c r="AZ103" s="8">
        <f t="shared" si="116"/>
        <v>8.8099999999999987</v>
      </c>
      <c r="BA103" s="9"/>
      <c r="BB103" s="9"/>
      <c r="BC103" s="9"/>
      <c r="BD103" s="8">
        <f t="shared" si="117"/>
        <v>0</v>
      </c>
      <c r="BE103" s="8">
        <f t="shared" si="118"/>
        <v>8.8099999999999987</v>
      </c>
      <c r="BF103" s="8">
        <f t="shared" si="119"/>
        <v>8.8099999999999987</v>
      </c>
      <c r="BG103" s="9"/>
      <c r="BH103" s="9"/>
      <c r="BI103" s="9"/>
      <c r="BJ103" s="8">
        <f t="shared" si="120"/>
        <v>0</v>
      </c>
      <c r="BK103" s="8">
        <f t="shared" si="121"/>
        <v>8.8099999999999987</v>
      </c>
      <c r="BL103" s="8">
        <f t="shared" si="122"/>
        <v>8.8099999999999987</v>
      </c>
      <c r="BM103" s="9"/>
      <c r="BN103" s="9"/>
      <c r="BO103" s="9"/>
      <c r="BP103" s="8">
        <f t="shared" si="123"/>
        <v>0</v>
      </c>
      <c r="BQ103" s="8">
        <f t="shared" si="124"/>
        <v>8.8099999999999987</v>
      </c>
      <c r="BR103" s="8">
        <f t="shared" si="125"/>
        <v>8.8099999999999987</v>
      </c>
      <c r="BS103" s="9"/>
      <c r="BT103" s="9"/>
      <c r="BU103" s="9"/>
      <c r="BV103" s="8">
        <f t="shared" si="126"/>
        <v>0</v>
      </c>
      <c r="BW103" s="8">
        <f t="shared" si="127"/>
        <v>8.8099999999999987</v>
      </c>
      <c r="BX103" s="8">
        <f t="shared" si="128"/>
        <v>8.8099999999999987</v>
      </c>
      <c r="BY103" s="9"/>
      <c r="BZ103" s="9"/>
      <c r="CA103" s="9"/>
      <c r="CB103" s="8">
        <f t="shared" si="129"/>
        <v>0</v>
      </c>
      <c r="CC103" s="8">
        <f t="shared" si="130"/>
        <v>8.8099999999999987</v>
      </c>
      <c r="CD103" s="8">
        <f t="shared" si="131"/>
        <v>8.8099999999999987</v>
      </c>
      <c r="CE103" s="9"/>
      <c r="CF103" s="9"/>
      <c r="CG103" s="9"/>
      <c r="CH103" s="8">
        <f t="shared" si="132"/>
        <v>0</v>
      </c>
      <c r="CI103" s="8">
        <f t="shared" si="133"/>
        <v>8.8099999999999987</v>
      </c>
      <c r="CJ103" s="8">
        <f t="shared" si="134"/>
        <v>8.8099999999999987</v>
      </c>
      <c r="CK103" s="9"/>
      <c r="CL103" s="9"/>
      <c r="CM103" s="9"/>
      <c r="CN103" s="8">
        <f t="shared" si="135"/>
        <v>0</v>
      </c>
      <c r="CO103" s="8">
        <f t="shared" si="136"/>
        <v>8.8099999999999987</v>
      </c>
      <c r="CP103" s="8">
        <f t="shared" si="137"/>
        <v>8.8099999999999987</v>
      </c>
    </row>
    <row r="104" spans="1:195" x14ac:dyDescent="0.3">
      <c r="A104" s="6">
        <v>97</v>
      </c>
      <c r="B104" s="22" t="s">
        <v>360</v>
      </c>
      <c r="C104" s="20" t="s">
        <v>263</v>
      </c>
      <c r="D104" s="24" t="s">
        <v>362</v>
      </c>
      <c r="E104" s="16" t="s">
        <v>179</v>
      </c>
      <c r="F104" s="12" t="s">
        <v>384</v>
      </c>
      <c r="G104" s="12" t="s">
        <v>94</v>
      </c>
      <c r="H104" s="7" t="s">
        <v>70</v>
      </c>
      <c r="I104" s="8">
        <v>8.8800000000000008</v>
      </c>
      <c r="J104" s="8">
        <v>8.8800000000000008</v>
      </c>
      <c r="K104" s="9"/>
      <c r="L104" s="9"/>
      <c r="M104" s="9"/>
      <c r="N104" s="8">
        <f t="shared" si="97"/>
        <v>0</v>
      </c>
      <c r="O104" s="8">
        <f t="shared" si="138"/>
        <v>8.8800000000000008</v>
      </c>
      <c r="P104" s="8">
        <f t="shared" si="98"/>
        <v>8.8800000000000008</v>
      </c>
      <c r="Q104" s="9"/>
      <c r="R104" s="9"/>
      <c r="S104" s="9"/>
      <c r="T104" s="8">
        <f t="shared" si="99"/>
        <v>0</v>
      </c>
      <c r="U104" s="8">
        <f t="shared" si="100"/>
        <v>8.8800000000000008</v>
      </c>
      <c r="V104" s="8">
        <f t="shared" si="101"/>
        <v>8.8800000000000008</v>
      </c>
      <c r="W104" s="29"/>
      <c r="X104" s="29">
        <v>0.03</v>
      </c>
      <c r="Y104" s="29">
        <v>0</v>
      </c>
      <c r="Z104" s="8">
        <f t="shared" si="102"/>
        <v>0.03</v>
      </c>
      <c r="AA104" s="8">
        <f t="shared" si="103"/>
        <v>8.8500000000000014</v>
      </c>
      <c r="AB104" s="8">
        <f t="shared" si="104"/>
        <v>8.8500000000000014</v>
      </c>
      <c r="AC104" s="29"/>
      <c r="AD104" s="29"/>
      <c r="AE104" s="29"/>
      <c r="AF104" s="8">
        <f t="shared" si="105"/>
        <v>0</v>
      </c>
      <c r="AG104" s="8">
        <f t="shared" si="106"/>
        <v>8.8500000000000014</v>
      </c>
      <c r="AH104" s="8">
        <f t="shared" si="107"/>
        <v>8.8500000000000014</v>
      </c>
      <c r="AI104" s="29"/>
      <c r="AJ104" s="29"/>
      <c r="AK104" s="29"/>
      <c r="AL104" s="8">
        <f t="shared" si="108"/>
        <v>0</v>
      </c>
      <c r="AM104" s="8">
        <f t="shared" si="109"/>
        <v>8.8500000000000014</v>
      </c>
      <c r="AN104" s="8">
        <f t="shared" si="110"/>
        <v>8.8500000000000014</v>
      </c>
      <c r="AO104" s="9"/>
      <c r="AP104" s="9"/>
      <c r="AQ104" s="9"/>
      <c r="AR104" s="8">
        <f t="shared" si="111"/>
        <v>0</v>
      </c>
      <c r="AS104" s="8">
        <f t="shared" si="112"/>
        <v>8.8500000000000014</v>
      </c>
      <c r="AT104" s="8">
        <f t="shared" si="113"/>
        <v>8.8500000000000014</v>
      </c>
      <c r="AU104" s="9"/>
      <c r="AV104" s="9"/>
      <c r="AW104" s="9"/>
      <c r="AX104" s="8">
        <f t="shared" si="114"/>
        <v>0</v>
      </c>
      <c r="AY104" s="8">
        <f t="shared" si="115"/>
        <v>8.8500000000000014</v>
      </c>
      <c r="AZ104" s="8">
        <f t="shared" si="116"/>
        <v>8.8500000000000014</v>
      </c>
      <c r="BA104" s="9"/>
      <c r="BB104" s="9"/>
      <c r="BC104" s="9"/>
      <c r="BD104" s="8">
        <f t="shared" si="117"/>
        <v>0</v>
      </c>
      <c r="BE104" s="8">
        <f t="shared" si="118"/>
        <v>8.8500000000000014</v>
      </c>
      <c r="BF104" s="8">
        <f t="shared" si="119"/>
        <v>8.8500000000000014</v>
      </c>
      <c r="BG104" s="9"/>
      <c r="BH104" s="9"/>
      <c r="BI104" s="9"/>
      <c r="BJ104" s="8">
        <f t="shared" si="120"/>
        <v>0</v>
      </c>
      <c r="BK104" s="8">
        <f t="shared" si="121"/>
        <v>8.8500000000000014</v>
      </c>
      <c r="BL104" s="8">
        <f t="shared" si="122"/>
        <v>8.8500000000000014</v>
      </c>
      <c r="BM104" s="9"/>
      <c r="BN104" s="9"/>
      <c r="BO104" s="9"/>
      <c r="BP104" s="8">
        <f t="shared" si="123"/>
        <v>0</v>
      </c>
      <c r="BQ104" s="8">
        <f t="shared" si="124"/>
        <v>8.8500000000000014</v>
      </c>
      <c r="BR104" s="8">
        <f t="shared" si="125"/>
        <v>8.8500000000000014</v>
      </c>
      <c r="BS104" s="9"/>
      <c r="BT104" s="9"/>
      <c r="BU104" s="9"/>
      <c r="BV104" s="8">
        <f t="shared" si="126"/>
        <v>0</v>
      </c>
      <c r="BW104" s="8">
        <f t="shared" si="127"/>
        <v>8.8500000000000014</v>
      </c>
      <c r="BX104" s="8">
        <f t="shared" si="128"/>
        <v>8.8500000000000014</v>
      </c>
      <c r="BY104" s="9"/>
      <c r="BZ104" s="9"/>
      <c r="CA104" s="9"/>
      <c r="CB104" s="8">
        <f t="shared" si="129"/>
        <v>0</v>
      </c>
      <c r="CC104" s="8">
        <f t="shared" si="130"/>
        <v>8.8500000000000014</v>
      </c>
      <c r="CD104" s="8">
        <f t="shared" si="131"/>
        <v>8.8500000000000014</v>
      </c>
      <c r="CE104" s="9"/>
      <c r="CF104" s="9"/>
      <c r="CG104" s="9"/>
      <c r="CH104" s="8">
        <f t="shared" si="132"/>
        <v>0</v>
      </c>
      <c r="CI104" s="8">
        <f t="shared" si="133"/>
        <v>8.8500000000000014</v>
      </c>
      <c r="CJ104" s="8">
        <f t="shared" si="134"/>
        <v>8.8500000000000014</v>
      </c>
      <c r="CK104" s="9"/>
      <c r="CL104" s="9"/>
      <c r="CM104" s="9"/>
      <c r="CN104" s="8">
        <f t="shared" si="135"/>
        <v>0</v>
      </c>
      <c r="CO104" s="8">
        <f t="shared" si="136"/>
        <v>8.8500000000000014</v>
      </c>
      <c r="CP104" s="8">
        <f t="shared" si="137"/>
        <v>8.8500000000000014</v>
      </c>
    </row>
    <row r="105" spans="1:195" x14ac:dyDescent="0.3">
      <c r="A105" s="6">
        <v>98</v>
      </c>
      <c r="B105" s="22" t="s">
        <v>361</v>
      </c>
      <c r="C105" s="20" t="s">
        <v>264</v>
      </c>
      <c r="D105" s="24" t="s">
        <v>362</v>
      </c>
      <c r="E105" s="16" t="s">
        <v>180</v>
      </c>
      <c r="F105" s="12" t="s">
        <v>384</v>
      </c>
      <c r="G105" s="12" t="s">
        <v>92</v>
      </c>
      <c r="H105" s="7" t="s">
        <v>70</v>
      </c>
      <c r="I105" s="8">
        <v>9.8000000000000007</v>
      </c>
      <c r="J105" s="8">
        <v>9.8000000000000007</v>
      </c>
      <c r="K105" s="9"/>
      <c r="L105" s="9"/>
      <c r="M105" s="9"/>
      <c r="N105" s="8">
        <f t="shared" si="97"/>
        <v>0</v>
      </c>
      <c r="O105" s="8">
        <f t="shared" si="138"/>
        <v>9.8000000000000007</v>
      </c>
      <c r="P105" s="8">
        <f t="shared" si="98"/>
        <v>9.8000000000000007</v>
      </c>
      <c r="Q105" s="9"/>
      <c r="R105" s="9"/>
      <c r="S105" s="9"/>
      <c r="T105" s="8">
        <f t="shared" si="99"/>
        <v>0</v>
      </c>
      <c r="U105" s="8">
        <f t="shared" si="100"/>
        <v>9.8000000000000007</v>
      </c>
      <c r="V105" s="8">
        <f t="shared" si="101"/>
        <v>9.8000000000000007</v>
      </c>
      <c r="W105" s="29"/>
      <c r="X105" s="29">
        <v>0.04</v>
      </c>
      <c r="Y105" s="29">
        <v>0</v>
      </c>
      <c r="Z105" s="8">
        <f t="shared" si="102"/>
        <v>0.04</v>
      </c>
      <c r="AA105" s="8">
        <f t="shared" si="103"/>
        <v>9.7600000000000016</v>
      </c>
      <c r="AB105" s="8">
        <f t="shared" si="104"/>
        <v>9.7600000000000016</v>
      </c>
      <c r="AC105" s="29"/>
      <c r="AD105" s="29"/>
      <c r="AE105" s="29"/>
      <c r="AF105" s="8">
        <f t="shared" si="105"/>
        <v>0</v>
      </c>
      <c r="AG105" s="8">
        <f t="shared" si="106"/>
        <v>9.7600000000000016</v>
      </c>
      <c r="AH105" s="8">
        <f t="shared" si="107"/>
        <v>9.7600000000000016</v>
      </c>
      <c r="AI105" s="29"/>
      <c r="AJ105" s="29"/>
      <c r="AK105" s="29"/>
      <c r="AL105" s="8">
        <f t="shared" si="108"/>
        <v>0</v>
      </c>
      <c r="AM105" s="8">
        <f t="shared" si="109"/>
        <v>9.7600000000000016</v>
      </c>
      <c r="AN105" s="8">
        <f t="shared" si="110"/>
        <v>9.7600000000000016</v>
      </c>
      <c r="AO105" s="9"/>
      <c r="AP105" s="9"/>
      <c r="AQ105" s="9"/>
      <c r="AR105" s="8">
        <f t="shared" si="111"/>
        <v>0</v>
      </c>
      <c r="AS105" s="8">
        <f t="shared" si="112"/>
        <v>9.7600000000000016</v>
      </c>
      <c r="AT105" s="8">
        <f t="shared" si="113"/>
        <v>9.7600000000000016</v>
      </c>
      <c r="AU105" s="9"/>
      <c r="AV105" s="9"/>
      <c r="AW105" s="9"/>
      <c r="AX105" s="8">
        <f t="shared" si="114"/>
        <v>0</v>
      </c>
      <c r="AY105" s="8">
        <f t="shared" si="115"/>
        <v>9.7600000000000016</v>
      </c>
      <c r="AZ105" s="8">
        <f t="shared" si="116"/>
        <v>9.7600000000000016</v>
      </c>
      <c r="BA105" s="9"/>
      <c r="BB105" s="9"/>
      <c r="BC105" s="9"/>
      <c r="BD105" s="8">
        <f t="shared" si="117"/>
        <v>0</v>
      </c>
      <c r="BE105" s="8">
        <f t="shared" si="118"/>
        <v>9.7600000000000016</v>
      </c>
      <c r="BF105" s="8">
        <f t="shared" si="119"/>
        <v>9.7600000000000016</v>
      </c>
      <c r="BG105" s="9"/>
      <c r="BH105" s="9"/>
      <c r="BI105" s="9"/>
      <c r="BJ105" s="8">
        <f t="shared" si="120"/>
        <v>0</v>
      </c>
      <c r="BK105" s="8">
        <f t="shared" si="121"/>
        <v>9.7600000000000016</v>
      </c>
      <c r="BL105" s="8">
        <f t="shared" si="122"/>
        <v>9.7600000000000016</v>
      </c>
      <c r="BM105" s="9"/>
      <c r="BN105" s="9"/>
      <c r="BO105" s="9"/>
      <c r="BP105" s="8">
        <f t="shared" si="123"/>
        <v>0</v>
      </c>
      <c r="BQ105" s="8">
        <f t="shared" si="124"/>
        <v>9.7600000000000016</v>
      </c>
      <c r="BR105" s="8">
        <f t="shared" si="125"/>
        <v>9.7600000000000016</v>
      </c>
      <c r="BS105" s="9"/>
      <c r="BT105" s="9"/>
      <c r="BU105" s="9"/>
      <c r="BV105" s="8">
        <f t="shared" si="126"/>
        <v>0</v>
      </c>
      <c r="BW105" s="8">
        <f t="shared" si="127"/>
        <v>9.7600000000000016</v>
      </c>
      <c r="BX105" s="8">
        <f t="shared" si="128"/>
        <v>9.7600000000000016</v>
      </c>
      <c r="BY105" s="9"/>
      <c r="BZ105" s="9"/>
      <c r="CA105" s="9"/>
      <c r="CB105" s="8">
        <f t="shared" si="129"/>
        <v>0</v>
      </c>
      <c r="CC105" s="8">
        <f t="shared" si="130"/>
        <v>9.7600000000000016</v>
      </c>
      <c r="CD105" s="8">
        <f t="shared" si="131"/>
        <v>9.7600000000000016</v>
      </c>
      <c r="CE105" s="9"/>
      <c r="CF105" s="9"/>
      <c r="CG105" s="9"/>
      <c r="CH105" s="8">
        <f t="shared" si="132"/>
        <v>0</v>
      </c>
      <c r="CI105" s="8">
        <f t="shared" si="133"/>
        <v>9.7600000000000016</v>
      </c>
      <c r="CJ105" s="8">
        <f t="shared" si="134"/>
        <v>9.7600000000000016</v>
      </c>
      <c r="CK105" s="9"/>
      <c r="CL105" s="9"/>
      <c r="CM105" s="9"/>
      <c r="CN105" s="8">
        <f t="shared" si="135"/>
        <v>0</v>
      </c>
      <c r="CO105" s="8">
        <f t="shared" si="136"/>
        <v>9.7600000000000016</v>
      </c>
      <c r="CP105" s="8">
        <f t="shared" si="137"/>
        <v>9.7600000000000016</v>
      </c>
    </row>
    <row r="106" spans="1:195" x14ac:dyDescent="0.3">
      <c r="I106" s="26">
        <f>SUM(J9:J105)</f>
        <v>21817.606</v>
      </c>
      <c r="J106" s="26">
        <f>SUM(J9:J105)</f>
        <v>21817.606</v>
      </c>
      <c r="K106" s="26">
        <f t="shared" ref="K106:S106" si="139">SUM(L9:L105)</f>
        <v>30.895</v>
      </c>
      <c r="L106" s="26">
        <f t="shared" si="139"/>
        <v>0</v>
      </c>
      <c r="M106" s="26">
        <f t="shared" si="139"/>
        <v>30.895</v>
      </c>
      <c r="N106" s="26">
        <f t="shared" si="139"/>
        <v>21786.710999999999</v>
      </c>
      <c r="O106" s="26">
        <f t="shared" si="139"/>
        <v>21786.710999999999</v>
      </c>
      <c r="P106" s="26">
        <f t="shared" si="139"/>
        <v>0</v>
      </c>
      <c r="Q106" s="26">
        <f t="shared" si="139"/>
        <v>0</v>
      </c>
      <c r="R106" s="26">
        <f t="shared" si="139"/>
        <v>0</v>
      </c>
      <c r="S106" s="26">
        <f t="shared" si="139"/>
        <v>0</v>
      </c>
      <c r="T106" s="26">
        <f t="shared" ref="T106:BU106" si="140">SUM(T9:T105)</f>
        <v>0</v>
      </c>
      <c r="U106" s="26">
        <f t="shared" si="140"/>
        <v>21786.710999999999</v>
      </c>
      <c r="V106" s="26">
        <f t="shared" si="140"/>
        <v>21786.710999999999</v>
      </c>
      <c r="W106" s="26">
        <f t="shared" si="140"/>
        <v>0</v>
      </c>
      <c r="X106" s="26">
        <f t="shared" si="140"/>
        <v>61.59</v>
      </c>
      <c r="Y106" s="26">
        <f t="shared" si="140"/>
        <v>0</v>
      </c>
      <c r="Z106" s="26">
        <f t="shared" si="140"/>
        <v>61.59</v>
      </c>
      <c r="AA106" s="26">
        <f t="shared" si="140"/>
        <v>21725.120999999999</v>
      </c>
      <c r="AB106" s="26">
        <f t="shared" si="140"/>
        <v>21725.120999999999</v>
      </c>
      <c r="AC106" s="26">
        <f t="shared" si="140"/>
        <v>0</v>
      </c>
      <c r="AD106" s="26">
        <f t="shared" si="140"/>
        <v>260.71000000000004</v>
      </c>
      <c r="AE106" s="26">
        <f t="shared" si="140"/>
        <v>0</v>
      </c>
      <c r="AF106" s="26">
        <f t="shared" si="140"/>
        <v>260.71000000000004</v>
      </c>
      <c r="AG106" s="26">
        <f t="shared" si="140"/>
        <v>21464.411</v>
      </c>
      <c r="AH106" s="26">
        <f t="shared" si="140"/>
        <v>21464.411</v>
      </c>
      <c r="AI106" s="26">
        <f t="shared" si="140"/>
        <v>0</v>
      </c>
      <c r="AJ106" s="26">
        <f t="shared" si="140"/>
        <v>127.09</v>
      </c>
      <c r="AK106" s="26">
        <f t="shared" si="140"/>
        <v>0</v>
      </c>
      <c r="AL106" s="26">
        <f t="shared" si="140"/>
        <v>127.09</v>
      </c>
      <c r="AM106" s="26">
        <f t="shared" si="140"/>
        <v>21337.320999999996</v>
      </c>
      <c r="AN106" s="26">
        <f t="shared" si="140"/>
        <v>21337.320999999996</v>
      </c>
      <c r="AO106" s="26">
        <f t="shared" si="140"/>
        <v>0</v>
      </c>
      <c r="AP106" s="26">
        <f t="shared" si="140"/>
        <v>30.091000000000001</v>
      </c>
      <c r="AQ106" s="26">
        <f t="shared" si="140"/>
        <v>0</v>
      </c>
      <c r="AR106" s="26">
        <f t="shared" si="140"/>
        <v>30.091000000000001</v>
      </c>
      <c r="AS106" s="26">
        <f t="shared" si="140"/>
        <v>21307.229999999996</v>
      </c>
      <c r="AT106" s="26">
        <f t="shared" si="140"/>
        <v>21307.229999999996</v>
      </c>
      <c r="AU106" s="26">
        <f t="shared" si="140"/>
        <v>0</v>
      </c>
      <c r="AV106" s="26">
        <f t="shared" si="140"/>
        <v>62.03</v>
      </c>
      <c r="AW106" s="26">
        <f t="shared" si="140"/>
        <v>0</v>
      </c>
      <c r="AX106" s="26">
        <f t="shared" si="140"/>
        <v>62.03</v>
      </c>
      <c r="AY106" s="26">
        <f t="shared" si="140"/>
        <v>21245.199999999997</v>
      </c>
      <c r="AZ106" s="26">
        <f t="shared" si="140"/>
        <v>21245.199999999997</v>
      </c>
      <c r="BA106" s="26">
        <f t="shared" si="140"/>
        <v>0</v>
      </c>
      <c r="BB106" s="26">
        <f t="shared" si="140"/>
        <v>0</v>
      </c>
      <c r="BC106" s="26">
        <f t="shared" si="140"/>
        <v>0</v>
      </c>
      <c r="BD106" s="26">
        <f t="shared" si="140"/>
        <v>0</v>
      </c>
      <c r="BE106" s="26">
        <f t="shared" si="140"/>
        <v>21245.199999999997</v>
      </c>
      <c r="BF106" s="26">
        <f t="shared" si="140"/>
        <v>21245.199999999997</v>
      </c>
      <c r="BG106" s="26">
        <f t="shared" si="140"/>
        <v>0</v>
      </c>
      <c r="BH106" s="26">
        <f t="shared" si="140"/>
        <v>0</v>
      </c>
      <c r="BI106" s="26">
        <f t="shared" si="140"/>
        <v>0</v>
      </c>
      <c r="BJ106" s="26">
        <f t="shared" si="140"/>
        <v>0</v>
      </c>
      <c r="BK106" s="26">
        <f t="shared" si="140"/>
        <v>21245.199999999997</v>
      </c>
      <c r="BL106" s="26">
        <f t="shared" si="140"/>
        <v>21245.199999999997</v>
      </c>
      <c r="BM106" s="26">
        <f t="shared" si="140"/>
        <v>0</v>
      </c>
      <c r="BN106" s="26">
        <f>SUM(BN9:BN105)</f>
        <v>61.2</v>
      </c>
      <c r="BO106" s="26">
        <f t="shared" si="140"/>
        <v>0</v>
      </c>
      <c r="BP106" s="26">
        <f t="shared" si="140"/>
        <v>61.2</v>
      </c>
      <c r="BQ106" s="26">
        <f t="shared" si="140"/>
        <v>21184</v>
      </c>
      <c r="BR106" s="26">
        <f t="shared" si="140"/>
        <v>21184</v>
      </c>
      <c r="BS106" s="26">
        <f t="shared" si="140"/>
        <v>0</v>
      </c>
      <c r="BT106" s="26">
        <f t="shared" si="140"/>
        <v>170.084</v>
      </c>
      <c r="BU106" s="26">
        <f t="shared" si="140"/>
        <v>0</v>
      </c>
      <c r="BV106" s="26">
        <f t="shared" ref="BV106:EG106" si="141">SUM(BV9:BV105)</f>
        <v>170.084</v>
      </c>
      <c r="BW106" s="26">
        <f t="shared" si="141"/>
        <v>21013.915999999997</v>
      </c>
      <c r="BX106" s="26">
        <f t="shared" si="141"/>
        <v>21013.915999999997</v>
      </c>
      <c r="BY106" s="26">
        <f t="shared" si="141"/>
        <v>0</v>
      </c>
      <c r="BZ106" s="26">
        <f t="shared" si="141"/>
        <v>95.94</v>
      </c>
      <c r="CA106" s="26">
        <f t="shared" si="141"/>
        <v>0</v>
      </c>
      <c r="CB106" s="26">
        <f t="shared" si="141"/>
        <v>95.94</v>
      </c>
      <c r="CC106" s="26">
        <f t="shared" si="141"/>
        <v>20917.975999999999</v>
      </c>
      <c r="CD106" s="26">
        <f t="shared" si="141"/>
        <v>20917.975999999999</v>
      </c>
      <c r="CE106" s="26">
        <f t="shared" si="141"/>
        <v>0</v>
      </c>
      <c r="CF106" s="26">
        <f t="shared" si="141"/>
        <v>31.704999999999998</v>
      </c>
      <c r="CG106" s="26">
        <f t="shared" si="141"/>
        <v>0</v>
      </c>
      <c r="CH106" s="26">
        <f t="shared" si="141"/>
        <v>31.704999999999998</v>
      </c>
      <c r="CI106" s="26">
        <f t="shared" si="141"/>
        <v>20886.270999999997</v>
      </c>
      <c r="CJ106" s="26">
        <f t="shared" si="141"/>
        <v>20886.270999999997</v>
      </c>
      <c r="CK106" s="26">
        <f t="shared" si="141"/>
        <v>0</v>
      </c>
      <c r="CL106" s="26">
        <f t="shared" si="141"/>
        <v>229.059</v>
      </c>
      <c r="CM106" s="26">
        <f t="shared" si="141"/>
        <v>0</v>
      </c>
      <c r="CN106" s="26">
        <f t="shared" si="141"/>
        <v>229.059</v>
      </c>
      <c r="CO106" s="26">
        <f t="shared" si="141"/>
        <v>20657.212</v>
      </c>
      <c r="CP106" s="26">
        <f t="shared" si="141"/>
        <v>20657.212</v>
      </c>
      <c r="CQ106" s="26">
        <f t="shared" si="141"/>
        <v>0</v>
      </c>
      <c r="CR106" s="26">
        <f t="shared" si="141"/>
        <v>0</v>
      </c>
      <c r="CS106" s="26">
        <f t="shared" si="141"/>
        <v>0</v>
      </c>
      <c r="CT106" s="26">
        <f t="shared" si="141"/>
        <v>0</v>
      </c>
      <c r="CU106" s="26">
        <f t="shared" si="141"/>
        <v>171.92099999999999</v>
      </c>
      <c r="CV106" s="26">
        <f t="shared" si="141"/>
        <v>171.92099999999999</v>
      </c>
      <c r="CW106" s="26">
        <f t="shared" si="141"/>
        <v>0</v>
      </c>
      <c r="CX106" s="26">
        <f t="shared" si="141"/>
        <v>0</v>
      </c>
      <c r="CY106" s="26">
        <f t="shared" si="141"/>
        <v>0</v>
      </c>
      <c r="CZ106" s="26">
        <f t="shared" si="141"/>
        <v>0</v>
      </c>
      <c r="DA106" s="26">
        <f t="shared" si="141"/>
        <v>171.92099999999999</v>
      </c>
      <c r="DB106" s="26">
        <f t="shared" si="141"/>
        <v>171.92099999999999</v>
      </c>
      <c r="DC106" s="26">
        <f t="shared" si="141"/>
        <v>0</v>
      </c>
      <c r="DD106" s="26">
        <f t="shared" si="141"/>
        <v>0</v>
      </c>
      <c r="DE106" s="26">
        <f t="shared" si="141"/>
        <v>0</v>
      </c>
      <c r="DF106" s="26">
        <f t="shared" si="141"/>
        <v>0</v>
      </c>
      <c r="DG106" s="26">
        <f t="shared" si="141"/>
        <v>171.92099999999999</v>
      </c>
      <c r="DH106" s="26">
        <f t="shared" si="141"/>
        <v>171.92099999999999</v>
      </c>
      <c r="DI106" s="26">
        <f t="shared" si="141"/>
        <v>0</v>
      </c>
      <c r="DJ106" s="26">
        <f t="shared" si="141"/>
        <v>0</v>
      </c>
      <c r="DK106" s="26">
        <f t="shared" si="141"/>
        <v>0</v>
      </c>
      <c r="DL106" s="26">
        <f t="shared" si="141"/>
        <v>0</v>
      </c>
      <c r="DM106" s="26">
        <f t="shared" si="141"/>
        <v>171.92099999999999</v>
      </c>
      <c r="DN106" s="26">
        <f t="shared" si="141"/>
        <v>171.92099999999999</v>
      </c>
      <c r="DO106" s="26">
        <f t="shared" si="141"/>
        <v>0</v>
      </c>
      <c r="DP106" s="26">
        <f t="shared" si="141"/>
        <v>0</v>
      </c>
      <c r="DQ106" s="26">
        <f t="shared" si="141"/>
        <v>0</v>
      </c>
      <c r="DR106" s="26">
        <f t="shared" si="141"/>
        <v>0</v>
      </c>
      <c r="DS106" s="26">
        <f t="shared" si="141"/>
        <v>171.92099999999999</v>
      </c>
      <c r="DT106" s="26">
        <f t="shared" si="141"/>
        <v>171.92099999999999</v>
      </c>
      <c r="DU106" s="26">
        <f t="shared" si="141"/>
        <v>0</v>
      </c>
      <c r="DV106" s="26">
        <f t="shared" si="141"/>
        <v>0</v>
      </c>
      <c r="DW106" s="26">
        <f t="shared" si="141"/>
        <v>0</v>
      </c>
      <c r="DX106" s="26">
        <f t="shared" si="141"/>
        <v>0</v>
      </c>
      <c r="DY106" s="26">
        <f t="shared" si="141"/>
        <v>171.92099999999999</v>
      </c>
      <c r="DZ106" s="26">
        <f t="shared" si="141"/>
        <v>171.92099999999999</v>
      </c>
      <c r="EA106" s="26">
        <f t="shared" si="141"/>
        <v>0</v>
      </c>
      <c r="EB106" s="26">
        <f t="shared" si="141"/>
        <v>0</v>
      </c>
      <c r="EC106" s="26">
        <f t="shared" si="141"/>
        <v>0</v>
      </c>
      <c r="ED106" s="26">
        <f t="shared" si="141"/>
        <v>0</v>
      </c>
      <c r="EE106" s="26">
        <f t="shared" si="141"/>
        <v>171.92099999999999</v>
      </c>
      <c r="EF106" s="26">
        <f t="shared" si="141"/>
        <v>171.92099999999999</v>
      </c>
      <c r="EG106" s="26">
        <f t="shared" si="141"/>
        <v>0</v>
      </c>
      <c r="EH106" s="26">
        <f t="shared" ref="EH106:GM106" si="142">SUM(EH9:EH105)</f>
        <v>0</v>
      </c>
      <c r="EI106" s="26">
        <f t="shared" si="142"/>
        <v>0</v>
      </c>
      <c r="EJ106" s="26">
        <f t="shared" si="142"/>
        <v>0</v>
      </c>
      <c r="EK106" s="26">
        <f t="shared" si="142"/>
        <v>171.92099999999999</v>
      </c>
      <c r="EL106" s="26">
        <f t="shared" si="142"/>
        <v>171.92099999999999</v>
      </c>
      <c r="EM106" s="26">
        <f t="shared" si="142"/>
        <v>0</v>
      </c>
      <c r="EN106" s="26">
        <f t="shared" si="142"/>
        <v>0</v>
      </c>
      <c r="EO106" s="26">
        <f t="shared" si="142"/>
        <v>0</v>
      </c>
      <c r="EP106" s="26">
        <f t="shared" si="142"/>
        <v>0</v>
      </c>
      <c r="EQ106" s="26">
        <f t="shared" si="142"/>
        <v>171.92099999999999</v>
      </c>
      <c r="ER106" s="26">
        <f t="shared" si="142"/>
        <v>171.92099999999999</v>
      </c>
      <c r="ES106" s="26">
        <f t="shared" si="142"/>
        <v>0</v>
      </c>
      <c r="ET106" s="26">
        <f t="shared" si="142"/>
        <v>0</v>
      </c>
      <c r="EU106" s="26">
        <f t="shared" si="142"/>
        <v>0</v>
      </c>
      <c r="EV106" s="26">
        <f t="shared" si="142"/>
        <v>0</v>
      </c>
      <c r="EW106" s="26">
        <f t="shared" si="142"/>
        <v>171.92099999999999</v>
      </c>
      <c r="EX106" s="26">
        <f t="shared" si="142"/>
        <v>171.92099999999999</v>
      </c>
      <c r="EY106" s="26">
        <f t="shared" si="142"/>
        <v>0</v>
      </c>
      <c r="EZ106" s="26">
        <f t="shared" si="142"/>
        <v>0</v>
      </c>
      <c r="FA106" s="26">
        <f t="shared" si="142"/>
        <v>0</v>
      </c>
      <c r="FB106" s="26">
        <f t="shared" si="142"/>
        <v>0</v>
      </c>
      <c r="FC106" s="26">
        <f t="shared" si="142"/>
        <v>171.92099999999999</v>
      </c>
      <c r="FD106" s="26">
        <f t="shared" si="142"/>
        <v>171.92099999999999</v>
      </c>
      <c r="FE106" s="26">
        <f t="shared" si="142"/>
        <v>0</v>
      </c>
      <c r="FF106" s="26">
        <f t="shared" si="142"/>
        <v>0</v>
      </c>
      <c r="FG106" s="26">
        <f t="shared" si="142"/>
        <v>0</v>
      </c>
      <c r="FH106" s="26">
        <f t="shared" si="142"/>
        <v>0</v>
      </c>
      <c r="FI106" s="26">
        <f t="shared" si="142"/>
        <v>171.92099999999999</v>
      </c>
      <c r="FJ106" s="26">
        <f t="shared" si="142"/>
        <v>171.92099999999999</v>
      </c>
      <c r="FK106" s="26">
        <f t="shared" si="142"/>
        <v>0</v>
      </c>
      <c r="FL106" s="26">
        <f t="shared" si="142"/>
        <v>0</v>
      </c>
      <c r="FM106" s="26">
        <f t="shared" si="142"/>
        <v>0</v>
      </c>
      <c r="FN106" s="26">
        <f t="shared" si="142"/>
        <v>0</v>
      </c>
      <c r="FO106" s="26">
        <f t="shared" si="142"/>
        <v>171.92099999999999</v>
      </c>
      <c r="FP106" s="26">
        <f t="shared" si="142"/>
        <v>171.92099999999999</v>
      </c>
      <c r="FQ106" s="26">
        <f t="shared" si="142"/>
        <v>0</v>
      </c>
      <c r="FR106" s="26">
        <f t="shared" si="142"/>
        <v>0</v>
      </c>
      <c r="FS106" s="26">
        <f t="shared" si="142"/>
        <v>0</v>
      </c>
      <c r="FT106" s="26">
        <f t="shared" si="142"/>
        <v>0</v>
      </c>
      <c r="FU106" s="26">
        <f t="shared" si="142"/>
        <v>171.92099999999999</v>
      </c>
      <c r="FV106" s="26">
        <f t="shared" si="142"/>
        <v>171.92099999999999</v>
      </c>
      <c r="FW106" s="26">
        <f t="shared" si="142"/>
        <v>0</v>
      </c>
      <c r="FX106" s="26">
        <f t="shared" si="142"/>
        <v>0</v>
      </c>
      <c r="FY106" s="26">
        <f t="shared" si="142"/>
        <v>0</v>
      </c>
      <c r="FZ106" s="26">
        <f t="shared" si="142"/>
        <v>0</v>
      </c>
      <c r="GA106" s="26">
        <f t="shared" si="142"/>
        <v>171.92099999999999</v>
      </c>
      <c r="GB106" s="26">
        <f t="shared" si="142"/>
        <v>171.92099999999999</v>
      </c>
      <c r="GC106" s="26">
        <f t="shared" si="142"/>
        <v>0</v>
      </c>
      <c r="GD106" s="26">
        <f t="shared" si="142"/>
        <v>0</v>
      </c>
      <c r="GE106" s="26">
        <f t="shared" si="142"/>
        <v>0</v>
      </c>
      <c r="GF106" s="26">
        <f t="shared" si="142"/>
        <v>0</v>
      </c>
      <c r="GG106" s="26">
        <f t="shared" si="142"/>
        <v>171.92099999999999</v>
      </c>
      <c r="GH106" s="26">
        <f t="shared" si="142"/>
        <v>171.92099999999999</v>
      </c>
      <c r="GI106" s="26">
        <f t="shared" si="142"/>
        <v>0</v>
      </c>
      <c r="GJ106" s="26">
        <f t="shared" si="142"/>
        <v>0</v>
      </c>
      <c r="GK106" s="26">
        <f t="shared" si="142"/>
        <v>0</v>
      </c>
      <c r="GL106" s="26">
        <f t="shared" si="142"/>
        <v>0</v>
      </c>
      <c r="GM106" s="26">
        <f t="shared" si="142"/>
        <v>171.92099999999999</v>
      </c>
    </row>
  </sheetData>
  <mergeCells count="56">
    <mergeCell ref="GR7:GR8"/>
    <mergeCell ref="GH7:GM7"/>
    <mergeCell ref="GN7:GN8"/>
    <mergeCell ref="GO7:GO8"/>
    <mergeCell ref="GP7:GP8"/>
    <mergeCell ref="GQ7:GQ8"/>
    <mergeCell ref="FD7:FI7"/>
    <mergeCell ref="FJ7:FO7"/>
    <mergeCell ref="FP7:FU7"/>
    <mergeCell ref="FV7:GA7"/>
    <mergeCell ref="GB7:GG7"/>
    <mergeCell ref="DZ7:EE7"/>
    <mergeCell ref="EF7:EK7"/>
    <mergeCell ref="EL7:EQ7"/>
    <mergeCell ref="ER7:EW7"/>
    <mergeCell ref="EX7:FC7"/>
    <mergeCell ref="CV7:DA7"/>
    <mergeCell ref="DB7:DG7"/>
    <mergeCell ref="DH7:DM7"/>
    <mergeCell ref="DN7:DS7"/>
    <mergeCell ref="DT7:DY7"/>
    <mergeCell ref="BR7:BW7"/>
    <mergeCell ref="BX7:CC7"/>
    <mergeCell ref="CD7:CI7"/>
    <mergeCell ref="CJ7:CO7"/>
    <mergeCell ref="CP7:CU7"/>
    <mergeCell ref="AN7:AS7"/>
    <mergeCell ref="AT7:AY7"/>
    <mergeCell ref="AZ7:BE7"/>
    <mergeCell ref="BF7:BK7"/>
    <mergeCell ref="BL7:BQ7"/>
    <mergeCell ref="A4:GR4"/>
    <mergeCell ref="A5:GR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O7"/>
    <mergeCell ref="P7:U7"/>
    <mergeCell ref="V7:AA7"/>
    <mergeCell ref="AB7:AG7"/>
    <mergeCell ref="AH7:AM7"/>
    <mergeCell ref="A1:GR1"/>
    <mergeCell ref="A2:GR2"/>
    <mergeCell ref="A3:C3"/>
    <mergeCell ref="D3:F3"/>
    <mergeCell ref="G3:I3"/>
    <mergeCell ref="J3:L3"/>
    <mergeCell ref="M3:P3"/>
    <mergeCell ref="Q3:T3"/>
    <mergeCell ref="AN3:AO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التعليمات</vt:lpstr>
      <vt:lpstr>Monthly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AFIFY</cp:lastModifiedBy>
  <cp:revision>0</cp:revision>
  <dcterms:created xsi:type="dcterms:W3CDTF">2026-09-12T05:41:57Z</dcterms:created>
  <dcterms:modified xsi:type="dcterms:W3CDTF">2026-10-14T12:36:23Z</dcterms:modified>
  <dc:language>en-US</dc:language>
</cp:coreProperties>
</file>